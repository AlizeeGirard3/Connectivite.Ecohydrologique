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Aliz/Documents/Doctorat/_R.&amp;.Stats_PhD/connectivite/data/raw/"/>
    </mc:Choice>
  </mc:AlternateContent>
  <xr:revisionPtr revIDLastSave="0" documentId="13_ncr:1_{FA6E1EB5-AAF0-974C-90D1-921A2613A235}" xr6:coauthVersionLast="47" xr6:coauthVersionMax="47" xr10:uidLastSave="{00000000-0000-0000-0000-000000000000}"/>
  <bookViews>
    <workbookView xWindow="0" yWindow="740" windowWidth="29400" windowHeight="17240" activeTab="1" xr2:uid="{8ACBC96D-DE55-F741-9375-1F3F8F04BD26}"/>
  </bookViews>
  <sheets>
    <sheet name="À faire" sheetId="4" r:id="rId1"/>
    <sheet name="level_logger_calibration_all" sheetId="1" r:id="rId2"/>
    <sheet name="VALIDATION" sheetId="2" r:id="rId3"/>
    <sheet name="CALIBRATION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114" i="1" l="1"/>
  <c r="AQ114" i="1"/>
  <c r="AL114" i="1"/>
  <c r="AG114" i="1"/>
  <c r="AV121" i="1"/>
  <c r="AQ121" i="1"/>
  <c r="AL121" i="1"/>
  <c r="AG121" i="1"/>
  <c r="AV120" i="1"/>
  <c r="AQ120" i="1"/>
  <c r="AL120" i="1"/>
  <c r="AG120" i="1"/>
  <c r="AV119" i="1"/>
  <c r="AQ119" i="1"/>
  <c r="AL119" i="1"/>
  <c r="AG119" i="1"/>
  <c r="AQ166" i="1"/>
  <c r="AQ165" i="1"/>
  <c r="AV69" i="1"/>
  <c r="AV68" i="1"/>
  <c r="AV60" i="1"/>
  <c r="AQ60" i="1"/>
  <c r="AL60" i="1"/>
  <c r="AG60" i="1"/>
  <c r="AV59" i="1"/>
  <c r="AQ59" i="1"/>
  <c r="AL59" i="1"/>
  <c r="AG59" i="1"/>
  <c r="AV58" i="1"/>
  <c r="AQ58" i="1"/>
  <c r="AL58" i="1"/>
  <c r="AG58" i="1"/>
  <c r="AV14" i="1"/>
  <c r="AV13" i="1"/>
  <c r="AA106" i="1"/>
  <c r="AQ26" i="1"/>
  <c r="AQ85" i="1"/>
  <c r="AQ90" i="1"/>
  <c r="AQ76" i="1"/>
  <c r="AQ79" i="1"/>
  <c r="AQ25" i="1"/>
  <c r="AL96" i="1"/>
  <c r="AG116" i="1"/>
  <c r="AL116" i="1"/>
  <c r="AQ116" i="1"/>
  <c r="AV116" i="1"/>
  <c r="AG41" i="1"/>
  <c r="AG167" i="1"/>
  <c r="AV46" i="1"/>
  <c r="AV47" i="1"/>
  <c r="AL167" i="1"/>
  <c r="AQ167" i="1"/>
  <c r="AG168" i="1"/>
  <c r="AL168" i="1"/>
  <c r="AQ168" i="1"/>
  <c r="AG169" i="1"/>
  <c r="AL169" i="1"/>
  <c r="AQ169" i="1"/>
  <c r="AG170" i="1"/>
  <c r="AL170" i="1"/>
  <c r="AQ170" i="1"/>
  <c r="AG171" i="1"/>
  <c r="AL171" i="1"/>
  <c r="AQ171" i="1"/>
  <c r="AG172" i="1"/>
  <c r="AL172" i="1"/>
  <c r="AQ172" i="1"/>
  <c r="AG64" i="1"/>
  <c r="AL64" i="1"/>
  <c r="AQ64" i="1"/>
  <c r="AG65" i="1"/>
  <c r="AL65" i="1"/>
  <c r="AQ65" i="1"/>
  <c r="AG66" i="1"/>
  <c r="AL66" i="1"/>
  <c r="AQ66" i="1"/>
  <c r="AG67" i="1"/>
  <c r="AL67" i="1"/>
  <c r="AQ67" i="1"/>
  <c r="AG68" i="1"/>
  <c r="AL68" i="1"/>
  <c r="AQ68" i="1"/>
  <c r="AG69" i="1"/>
  <c r="AL69" i="1"/>
  <c r="AQ69" i="1"/>
  <c r="AG94" i="1"/>
  <c r="AL94" i="1"/>
  <c r="AQ94" i="1"/>
  <c r="AG173" i="1"/>
  <c r="AL173" i="1"/>
  <c r="AQ173" i="1"/>
  <c r="AG174" i="1"/>
  <c r="AL174" i="1"/>
  <c r="AQ174" i="1"/>
  <c r="AG175" i="1"/>
  <c r="AL175" i="1"/>
  <c r="AQ175" i="1"/>
  <c r="AG176" i="1"/>
  <c r="AQ176" i="1"/>
  <c r="AG177" i="1"/>
  <c r="AQ177" i="1"/>
  <c r="AG178" i="1"/>
  <c r="AQ178" i="1"/>
  <c r="AG106" i="1"/>
  <c r="AL106" i="1"/>
  <c r="AQ106" i="1"/>
  <c r="AG113" i="1"/>
  <c r="AL113" i="1"/>
  <c r="AQ113" i="1"/>
  <c r="AB103" i="1"/>
  <c r="AG103" i="1"/>
  <c r="AL103" i="1"/>
  <c r="AQ103" i="1"/>
  <c r="AG83" i="1"/>
  <c r="AL83" i="1"/>
  <c r="AQ83" i="1"/>
  <c r="AL118" i="1"/>
  <c r="AL101" i="1"/>
  <c r="AQ101" i="1"/>
  <c r="AG5" i="1"/>
  <c r="AL5" i="1"/>
  <c r="AQ5" i="1"/>
  <c r="AG17" i="1"/>
  <c r="AL17" i="1"/>
  <c r="AQ17" i="1"/>
  <c r="AV45" i="1"/>
  <c r="AQ57" i="1"/>
  <c r="AQ56" i="1"/>
  <c r="AQ51" i="1"/>
  <c r="AQ50" i="1"/>
  <c r="AQ14" i="1"/>
  <c r="AQ13" i="1"/>
  <c r="AQ63" i="1"/>
  <c r="AQ62" i="1"/>
  <c r="AL54" i="1"/>
  <c r="AL53" i="1"/>
  <c r="AQ164" i="1"/>
  <c r="AQ8" i="1"/>
  <c r="AQ7" i="1"/>
  <c r="AL61" i="1"/>
  <c r="AV92" i="1"/>
  <c r="AQ92" i="1"/>
  <c r="AL92" i="1"/>
  <c r="AG92" i="1"/>
  <c r="AV10" i="1"/>
  <c r="AQ10" i="1"/>
  <c r="AL10" i="1"/>
  <c r="AG10" i="1"/>
  <c r="AV9" i="1"/>
  <c r="AQ9" i="1"/>
  <c r="AL9" i="1"/>
  <c r="AG9" i="1"/>
  <c r="AV11" i="1"/>
  <c r="AQ11" i="1"/>
  <c r="AL11" i="1"/>
  <c r="AG11" i="1"/>
  <c r="AV163" i="1"/>
  <c r="AQ163" i="1"/>
  <c r="AL163" i="1"/>
  <c r="AG163" i="1"/>
  <c r="AV162" i="1"/>
  <c r="AQ162" i="1"/>
  <c r="AL162" i="1"/>
  <c r="AG162" i="1"/>
  <c r="AV161" i="1"/>
  <c r="AQ161" i="1"/>
  <c r="AL161" i="1"/>
  <c r="AG161" i="1"/>
  <c r="AV88" i="1"/>
  <c r="AQ88" i="1"/>
  <c r="AL88" i="1"/>
  <c r="AV89" i="1"/>
  <c r="AQ89" i="1"/>
  <c r="AL89" i="1"/>
  <c r="AG89" i="1"/>
  <c r="AV86" i="1"/>
  <c r="AQ86" i="1"/>
  <c r="AL86" i="1"/>
  <c r="AG86" i="1"/>
  <c r="AV84" i="1"/>
  <c r="AQ84" i="1"/>
  <c r="AL84" i="1"/>
  <c r="AG84" i="1"/>
  <c r="AQ22" i="1"/>
  <c r="AL43" i="1"/>
  <c r="AL22" i="1"/>
  <c r="AG22" i="1"/>
  <c r="AV52" i="1"/>
  <c r="AV53" i="1"/>
  <c r="AV54" i="1"/>
  <c r="AV164" i="1"/>
  <c r="AV165" i="1"/>
  <c r="AV166" i="1"/>
  <c r="AV55" i="1"/>
  <c r="AV56" i="1"/>
  <c r="AV57" i="1"/>
  <c r="AV12" i="1"/>
  <c r="AV61" i="1"/>
  <c r="AV62" i="1"/>
  <c r="AV63" i="1"/>
  <c r="AV167" i="1"/>
  <c r="AV168" i="1"/>
  <c r="AV169" i="1"/>
  <c r="AV170" i="1"/>
  <c r="AV171" i="1"/>
  <c r="AV172" i="1"/>
  <c r="AV64" i="1"/>
  <c r="AV65" i="1"/>
  <c r="AV66" i="1"/>
  <c r="AV67" i="1"/>
  <c r="AV173" i="1"/>
  <c r="AV174" i="1"/>
  <c r="AV175" i="1"/>
  <c r="AV176" i="1"/>
  <c r="AV177" i="1"/>
  <c r="AV178" i="1"/>
  <c r="AV94" i="1"/>
  <c r="AV28" i="1"/>
  <c r="AV105" i="1"/>
  <c r="AV49" i="1"/>
  <c r="AV50" i="1"/>
  <c r="AV51" i="1"/>
  <c r="AV158" i="1"/>
  <c r="AV159" i="1"/>
  <c r="AV160" i="1"/>
  <c r="AQ52" i="1"/>
  <c r="AQ45" i="1"/>
  <c r="AQ46" i="1"/>
  <c r="AQ47" i="1"/>
  <c r="AQ55" i="1"/>
  <c r="AQ12" i="1"/>
  <c r="AQ61" i="1"/>
  <c r="AQ28" i="1"/>
  <c r="AQ105" i="1"/>
  <c r="AQ49" i="1"/>
  <c r="AQ158" i="1"/>
  <c r="AQ159" i="1"/>
  <c r="AQ160" i="1"/>
  <c r="AL52" i="1"/>
  <c r="AL164" i="1"/>
  <c r="AL165" i="1"/>
  <c r="AL166" i="1"/>
  <c r="AL45" i="1"/>
  <c r="AL46" i="1"/>
  <c r="AL47" i="1"/>
  <c r="AL55" i="1"/>
  <c r="AL56" i="1"/>
  <c r="AL57" i="1"/>
  <c r="AL62" i="1"/>
  <c r="AL63" i="1"/>
  <c r="AL12" i="1"/>
  <c r="AL13" i="1"/>
  <c r="AL14" i="1"/>
  <c r="AL49" i="1"/>
  <c r="AL50" i="1"/>
  <c r="AL51" i="1"/>
  <c r="AL158" i="1"/>
  <c r="AL159" i="1"/>
  <c r="AL160" i="1"/>
  <c r="AG52" i="1"/>
  <c r="AG53" i="1"/>
  <c r="AG54" i="1"/>
  <c r="AG164" i="1"/>
  <c r="AG165" i="1"/>
  <c r="AG166" i="1"/>
  <c r="AG45" i="1"/>
  <c r="AG46" i="1"/>
  <c r="AG47" i="1"/>
  <c r="AG55" i="1"/>
  <c r="AG56" i="1"/>
  <c r="AG57" i="1"/>
  <c r="AG12" i="1"/>
  <c r="AG13" i="1"/>
  <c r="AG14" i="1"/>
  <c r="AG61" i="1"/>
  <c r="AG62" i="1"/>
  <c r="AG63" i="1"/>
  <c r="AG28" i="1"/>
  <c r="AG105" i="1"/>
  <c r="AG31" i="1"/>
  <c r="AG49" i="1"/>
  <c r="AG50" i="1"/>
  <c r="AG51" i="1"/>
  <c r="AG158" i="1"/>
  <c r="AG159" i="1"/>
  <c r="AG160" i="1"/>
  <c r="AV8" i="1"/>
  <c r="AV7" i="1"/>
  <c r="AV6" i="1"/>
  <c r="AQ6" i="1"/>
  <c r="AL8" i="1"/>
  <c r="AL7" i="1"/>
  <c r="AL6" i="1"/>
  <c r="AG7" i="1"/>
  <c r="AG8" i="1"/>
  <c r="AG6" i="1"/>
  <c r="AV106" i="1"/>
  <c r="AV103" i="1"/>
  <c r="AV113" i="1"/>
  <c r="AV83" i="1"/>
  <c r="AV118" i="1"/>
  <c r="AV17" i="1"/>
  <c r="AQ31" i="1"/>
  <c r="AV31" i="1"/>
  <c r="AQ41" i="1"/>
  <c r="AV41" i="1"/>
  <c r="AV5" i="1"/>
  <c r="AV101" i="1"/>
  <c r="AQ100" i="1"/>
  <c r="AV100" i="1"/>
  <c r="AG100" i="1"/>
  <c r="AG30" i="1"/>
  <c r="AG16" i="1"/>
  <c r="AL42" i="1"/>
  <c r="AV90" i="1"/>
  <c r="AL90" i="1"/>
  <c r="AG90" i="1"/>
  <c r="AV85" i="1"/>
  <c r="AL85" i="1"/>
  <c r="AG85" i="1"/>
  <c r="AV26" i="1"/>
  <c r="AL26" i="1"/>
  <c r="AG26" i="1"/>
  <c r="AV87" i="1"/>
  <c r="AQ87" i="1"/>
  <c r="AL87" i="1"/>
  <c r="AG87" i="1"/>
  <c r="AL31" i="1"/>
  <c r="AL41" i="1"/>
  <c r="AL105" i="1"/>
  <c r="AL28" i="1"/>
  <c r="AV97" i="1"/>
  <c r="AQ97" i="1"/>
  <c r="AL97" i="1"/>
  <c r="AV95" i="1"/>
  <c r="AQ95" i="1"/>
  <c r="AL95" i="1"/>
  <c r="B44" i="1"/>
  <c r="B34" i="1"/>
  <c r="B22" i="1"/>
  <c r="B36" i="1"/>
  <c r="AG82" i="1"/>
  <c r="AL100" i="1"/>
  <c r="AV112" i="1"/>
  <c r="AQ112" i="1"/>
  <c r="AL112" i="1"/>
  <c r="AG112" i="1"/>
  <c r="AV39" i="1"/>
  <c r="AV24" i="1"/>
  <c r="AV78" i="1"/>
  <c r="AV108" i="1"/>
  <c r="AV104" i="1"/>
  <c r="AV21" i="1"/>
  <c r="AV33" i="1"/>
  <c r="AV32" i="1"/>
  <c r="AV40" i="1"/>
  <c r="AV93" i="1"/>
  <c r="AV18" i="1"/>
  <c r="AV35" i="1"/>
  <c r="AV115" i="1"/>
  <c r="AV82" i="1"/>
  <c r="AV15" i="1"/>
  <c r="AV23" i="1"/>
  <c r="AV38" i="1"/>
  <c r="AV36" i="1"/>
  <c r="AV20" i="1"/>
  <c r="AV42" i="1"/>
  <c r="AV29" i="1"/>
  <c r="AG39" i="1"/>
  <c r="AL39" i="1"/>
  <c r="AL24" i="1"/>
  <c r="AQ24" i="1"/>
  <c r="AL78" i="1"/>
  <c r="AQ78" i="1"/>
  <c r="AL108" i="1"/>
  <c r="AQ108" i="1"/>
  <c r="AL104" i="1"/>
  <c r="AQ104" i="1"/>
  <c r="AL21" i="1"/>
  <c r="AQ21" i="1"/>
  <c r="AL33" i="1"/>
  <c r="AQ33" i="1"/>
  <c r="AL32" i="1"/>
  <c r="AQ32" i="1"/>
  <c r="AL40" i="1"/>
  <c r="AQ40" i="1"/>
  <c r="AL93" i="1"/>
  <c r="AQ93" i="1"/>
  <c r="AL18" i="1"/>
  <c r="AQ18" i="1"/>
  <c r="AL35" i="1"/>
  <c r="AQ35" i="1"/>
  <c r="AL115" i="1"/>
  <c r="AQ115" i="1"/>
  <c r="AL82" i="1"/>
  <c r="AQ82" i="1"/>
  <c r="AL15" i="1"/>
  <c r="AQ15" i="1"/>
  <c r="AL23" i="1"/>
  <c r="AQ23" i="1"/>
  <c r="AL38" i="1"/>
  <c r="AQ38" i="1"/>
  <c r="AL36" i="1"/>
  <c r="AQ36" i="1"/>
  <c r="AL20" i="1"/>
  <c r="AQ20" i="1"/>
  <c r="AQ42" i="1"/>
  <c r="AL29" i="1"/>
  <c r="AQ29" i="1"/>
  <c r="AG23" i="1"/>
  <c r="AG38" i="1"/>
  <c r="AG36" i="1"/>
  <c r="AG20" i="1"/>
  <c r="AG42" i="1"/>
  <c r="AG29" i="1"/>
  <c r="AG117" i="1"/>
  <c r="AG99" i="1"/>
  <c r="AG37" i="1"/>
  <c r="AG91" i="1"/>
  <c r="AG102" i="1"/>
  <c r="AG44" i="1"/>
  <c r="AG111" i="1"/>
  <c r="AG107" i="1"/>
  <c r="AG24" i="1"/>
  <c r="AG78" i="1"/>
  <c r="AG108" i="1"/>
  <c r="AG104" i="1"/>
  <c r="AG21" i="1"/>
  <c r="AG33" i="1"/>
  <c r="AG32" i="1"/>
  <c r="AG40" i="1"/>
  <c r="AG93" i="1"/>
  <c r="AG18" i="1"/>
  <c r="AG35" i="1"/>
  <c r="AG115" i="1"/>
  <c r="AG15" i="1"/>
  <c r="AV117" i="1"/>
  <c r="AV99" i="1"/>
  <c r="AV37" i="1"/>
  <c r="AV91" i="1"/>
  <c r="AV102" i="1"/>
  <c r="AV44" i="1"/>
  <c r="AV111" i="1"/>
  <c r="AV107" i="1"/>
  <c r="AQ117" i="1"/>
  <c r="AQ99" i="1"/>
  <c r="AQ37" i="1"/>
  <c r="AQ91" i="1"/>
  <c r="AQ102" i="1"/>
  <c r="AQ44" i="1"/>
  <c r="AQ111" i="1"/>
  <c r="AQ107" i="1"/>
  <c r="AL117" i="1"/>
  <c r="AL99" i="1"/>
  <c r="AL37" i="1"/>
  <c r="AL91" i="1"/>
  <c r="AL102" i="1"/>
  <c r="AL44" i="1"/>
  <c r="AL111" i="1"/>
  <c r="AL107" i="1"/>
  <c r="M77" i="1"/>
  <c r="AV74" i="1"/>
  <c r="AV73" i="1"/>
  <c r="AV72" i="1"/>
  <c r="AV71" i="1"/>
  <c r="AV70" i="1"/>
  <c r="AV157" i="1"/>
  <c r="AV156" i="1"/>
  <c r="AV155" i="1"/>
  <c r="AV154" i="1"/>
  <c r="AV153" i="1"/>
  <c r="AV152" i="1"/>
  <c r="AV151" i="1"/>
  <c r="AV150" i="1"/>
  <c r="AV149" i="1"/>
  <c r="AV148" i="1"/>
  <c r="AV147" i="1"/>
  <c r="AV146" i="1"/>
  <c r="AV145" i="1"/>
  <c r="AV144" i="1"/>
  <c r="AV143" i="1"/>
  <c r="AV142" i="1"/>
  <c r="AV141" i="1"/>
  <c r="AV140" i="1"/>
  <c r="AV139" i="1"/>
  <c r="AV138" i="1"/>
  <c r="AV137" i="1"/>
  <c r="AV136" i="1"/>
  <c r="AV135" i="1"/>
  <c r="AV134" i="1"/>
  <c r="AV133" i="1"/>
  <c r="AV132" i="1"/>
  <c r="AV131" i="1"/>
  <c r="AV130" i="1"/>
  <c r="AV129" i="1"/>
  <c r="AV128" i="1"/>
  <c r="AV127" i="1"/>
  <c r="AV126" i="1"/>
  <c r="AV125" i="1"/>
  <c r="AV124" i="1"/>
  <c r="AV123" i="1"/>
  <c r="AV122" i="1"/>
  <c r="AV96" i="1"/>
  <c r="AV98" i="1"/>
  <c r="AV27" i="1"/>
  <c r="AV48" i="1"/>
  <c r="AV19" i="1"/>
  <c r="AV75" i="1"/>
  <c r="AV25" i="1"/>
  <c r="AV79" i="1"/>
  <c r="AV76" i="1"/>
  <c r="AV34" i="1"/>
  <c r="AV22" i="1"/>
  <c r="AV43" i="1"/>
  <c r="AV77" i="1"/>
  <c r="AQ74" i="1"/>
  <c r="AQ73" i="1"/>
  <c r="AQ72" i="1"/>
  <c r="AQ71" i="1"/>
  <c r="AQ70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96" i="1"/>
  <c r="AQ98" i="1"/>
  <c r="AQ27" i="1"/>
  <c r="AQ48" i="1"/>
  <c r="AQ19" i="1"/>
  <c r="AQ75" i="1"/>
  <c r="AQ34" i="1"/>
  <c r="AQ43" i="1"/>
  <c r="AQ77" i="1"/>
  <c r="AL77" i="1"/>
  <c r="AL34" i="1"/>
  <c r="AL76" i="1"/>
  <c r="AL79" i="1"/>
  <c r="AL25" i="1"/>
  <c r="AL75" i="1"/>
  <c r="AL19" i="1"/>
  <c r="AL48" i="1"/>
  <c r="AL27" i="1"/>
  <c r="AL98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70" i="1"/>
  <c r="AL71" i="1"/>
  <c r="AL72" i="1"/>
  <c r="AL73" i="1"/>
  <c r="AL74" i="1"/>
  <c r="AG77" i="1"/>
  <c r="AG43" i="1"/>
  <c r="AG34" i="1"/>
  <c r="AG76" i="1"/>
  <c r="AG79" i="1"/>
  <c r="AG25" i="1"/>
  <c r="AG75" i="1"/>
  <c r="AG19" i="1"/>
  <c r="AG48" i="1"/>
  <c r="AG27" i="1"/>
  <c r="AG98" i="1"/>
  <c r="AG96" i="1"/>
  <c r="AA7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<sst xmlns="http://schemas.openxmlformats.org/spreadsheetml/2006/main" count="2939" uniqueCount="580">
  <si>
    <t>lat.garmin.dms</t>
  </si>
  <si>
    <t>long.garmin.dms</t>
  </si>
  <si>
    <t>well.uid</t>
  </si>
  <si>
    <t>trmnt.uid</t>
  </si>
  <si>
    <t>étiquette</t>
  </si>
  <si>
    <t>probe.uid</t>
  </si>
  <si>
    <t>probe.brand</t>
  </si>
  <si>
    <t>long.fil.cm</t>
  </si>
  <si>
    <t>comment</t>
  </si>
  <si>
    <t>day.begining.aaaa.mm.dd.hh.mm</t>
  </si>
  <si>
    <t>day.end.aaaa.mm.dd.hh.mm</t>
  </si>
  <si>
    <t>in.bulleur1.prof.cm</t>
  </si>
  <si>
    <t>in.bulleur1.date.aaaammdd</t>
  </si>
  <si>
    <t>in.bulleur1.time.tz.orig</t>
  </si>
  <si>
    <t>in.bulleur1.obs</t>
  </si>
  <si>
    <t>in.bulleur2.prof.cm</t>
  </si>
  <si>
    <t>in.bulleur2.rel.to.surface.cm</t>
  </si>
  <si>
    <t>in.bulleur2.date.aaaammdd</t>
  </si>
  <si>
    <t>in.bulleur2.time.tz.orig</t>
  </si>
  <si>
    <t>in.bulleur2.obs</t>
  </si>
  <si>
    <t>in.bulleur3.prof.cm</t>
  </si>
  <si>
    <t>in.bulleur3.rel.to.surface.cm</t>
  </si>
  <si>
    <t>in.bulleur3.date.aaaammdd</t>
  </si>
  <si>
    <t>in.bulleur3.time.tz.orig</t>
  </si>
  <si>
    <t>in.bulleur3.obs</t>
  </si>
  <si>
    <t>in.bulleur4.prof.cm</t>
  </si>
  <si>
    <t>in.bulleur4.rel.to.surface.cm</t>
  </si>
  <si>
    <t>in.bulleur4.date.aaaammdd</t>
  </si>
  <si>
    <t>in.bulleur4.time.tz.orig</t>
  </si>
  <si>
    <t>in.bulleur4.obs</t>
  </si>
  <si>
    <t>measure_type</t>
  </si>
  <si>
    <t>measure_status</t>
  </si>
  <si>
    <t>lab.probe.id</t>
  </si>
  <si>
    <t>cal.length.cm</t>
  </si>
  <si>
    <t>cal.order</t>
  </si>
  <si>
    <t>BRNTC.ch1.T3.chippd</t>
  </si>
  <si>
    <t>HOBO</t>
  </si>
  <si>
    <t>NA</t>
  </si>
  <si>
    <t>-65,19203</t>
  </si>
  <si>
    <t>BRNTC.ch1.T1.gr.protec</t>
  </si>
  <si>
    <t>-65,19267</t>
  </si>
  <si>
    <t>BRNTC.ch1.T2.refrsh</t>
  </si>
  <si>
    <t>-65,19204</t>
  </si>
  <si>
    <t>BRNTC.ch1.C0.NoChannels.2025</t>
  </si>
  <si>
    <t>bulleur1 pris en retirant lvlogger</t>
  </si>
  <si>
    <t>AP</t>
  </si>
  <si>
    <t>-65,19311</t>
  </si>
  <si>
    <t>BRNTC.ch1.C00.keptChannels.2025</t>
  </si>
  <si>
    <t xml:space="preserve">bulleur 1 24/07/25 nappe pas accessible </t>
  </si>
  <si>
    <t>_2025.date.fin</t>
  </si>
  <si>
    <t>-65,19262</t>
  </si>
  <si>
    <t>BRNTC.ch1.R24.2025</t>
  </si>
  <si>
    <t>BRNTC.ch1.pre</t>
  </si>
  <si>
    <t>pending_approbation</t>
  </si>
  <si>
    <t>BRNTC</t>
  </si>
  <si>
    <t>-65,18117</t>
  </si>
  <si>
    <t>BRNTC.meteo.station.2025</t>
  </si>
  <si>
    <t>BRNTC.meteo.station</t>
  </si>
  <si>
    <t>22195247_20250716</t>
  </si>
  <si>
    <t>-65,19276</t>
  </si>
  <si>
    <t>BRNTC.ch1.pre2.2025</t>
  </si>
  <si>
    <t>"Out" mesurés le 07-16 lors du retrait = 50,7;49,9;48,8 cm</t>
  </si>
  <si>
    <t>2025-05-18 16:00:01</t>
  </si>
  <si>
    <t>AG;AP</t>
  </si>
  <si>
    <t>22224407_20250717</t>
  </si>
  <si>
    <t>-65,19318</t>
  </si>
  <si>
    <t>BRNTC.ch1.pre1.2025</t>
  </si>
  <si>
    <t>out remesuré 17 juillet, moyenne des deux</t>
  </si>
  <si>
    <t>2025-05-18 13:00:01</t>
  </si>
  <si>
    <t>AG</t>
  </si>
  <si>
    <t>22224401_20250723</t>
  </si>
  <si>
    <t>22063156_20250721</t>
  </si>
  <si>
    <t>-64,83128</t>
  </si>
  <si>
    <t>INK.meteo.station.2025</t>
  </si>
  <si>
    <t>INK.meteo.station</t>
  </si>
  <si>
    <t>station meteo dans MareC1 à +30m environ. #22063156 sonde. 47,62245; -64,83128. Données prises le 21-07-2025.</t>
  </si>
  <si>
    <t>2025-05-26 14:00:01</t>
  </si>
  <si>
    <t>INK</t>
  </si>
  <si>
    <t>22195241_20250721</t>
  </si>
  <si>
    <t>-64,82873</t>
  </si>
  <si>
    <t>INK.pasMare.D1.m1m.2025</t>
  </si>
  <si>
    <t>INK.pasMare.D1</t>
  </si>
  <si>
    <t>ok pas etiquette, out 21 juill 47;47,7;46,8</t>
  </si>
  <si>
    <t>2025-05-25 14:00:01</t>
  </si>
  <si>
    <t>22224413_20250721</t>
  </si>
  <si>
    <t>-64,83198</t>
  </si>
  <si>
    <t>INK.Mare.A1.m1m.2025</t>
  </si>
  <si>
    <t>INK.Mare.A1</t>
  </si>
  <si>
    <t>out 21 juill 30,2;29;31,5</t>
  </si>
  <si>
    <t>2025-05-30 09:00:01</t>
  </si>
  <si>
    <t>22224386_20250721</t>
  </si>
  <si>
    <t>-64,83260</t>
  </si>
  <si>
    <t>INK.Mare.A2.m1m.2025</t>
  </si>
  <si>
    <t>INK.Mare.A2</t>
  </si>
  <si>
    <t>out 21 juill 36,4;37,8;38,7</t>
  </si>
  <si>
    <t>2025-05-30 10:00:01</t>
  </si>
  <si>
    <t>22195244_20250721</t>
  </si>
  <si>
    <t>-64,81910</t>
  </si>
  <si>
    <t>INK.ch3.C.1.2025</t>
  </si>
  <si>
    <t>INK.ch3.C</t>
  </si>
  <si>
    <t>2025-05-30 14:00:01</t>
  </si>
  <si>
    <t>22195246_20250721</t>
  </si>
  <si>
    <t>-64,81912</t>
  </si>
  <si>
    <t>INK.ch3.C.2.2025</t>
  </si>
  <si>
    <t>22195248_20250721</t>
  </si>
  <si>
    <t>-64,81913</t>
  </si>
  <si>
    <t>INK.ch3.C.3.2025</t>
  </si>
  <si>
    <t>22220788_20250721</t>
  </si>
  <si>
    <t>INK.EB.14m.2025</t>
  </si>
  <si>
    <t>INK.EB</t>
  </si>
  <si>
    <t>out 21 juil: 21,8;21,5;22,2</t>
  </si>
  <si>
    <t>2025-05-30 13:00:01</t>
  </si>
  <si>
    <t>22220789_20250721</t>
  </si>
  <si>
    <t>INK.EA.m4m.2025</t>
  </si>
  <si>
    <t>INK.EA</t>
  </si>
  <si>
    <t>out 21 juil: 34,5;33,6;35,2 // depuis quand reprofilé ?? ajuster donnees</t>
  </si>
  <si>
    <t>INK.ch3.rmvd.1.2025</t>
  </si>
  <si>
    <t>INK.ch3.rmvd</t>
  </si>
  <si>
    <t>installer juill/août</t>
  </si>
  <si>
    <t>INK.ch3.rmvd.2.2025</t>
  </si>
  <si>
    <t>INK.ch3.rmvd.3.2025</t>
  </si>
  <si>
    <t>-64,81193</t>
  </si>
  <si>
    <t>166,6</t>
  </si>
  <si>
    <t>-64,81200</t>
  </si>
  <si>
    <t>247,3</t>
  </si>
  <si>
    <t>15cm sable surface</t>
  </si>
  <si>
    <t>-64,81202</t>
  </si>
  <si>
    <t>135,3</t>
  </si>
  <si>
    <t>-69,50871</t>
  </si>
  <si>
    <t>PRO.ch1.R23.2025</t>
  </si>
  <si>
    <t>PRO.ch1.R23</t>
  </si>
  <si>
    <t>PRO</t>
  </si>
  <si>
    <t>PRO.ch1.pre.2025</t>
  </si>
  <si>
    <t>PRO.ch1.pre</t>
  </si>
  <si>
    <t>-64,82764</t>
  </si>
  <si>
    <t>INK.pasMare.D2.m1m.2025</t>
  </si>
  <si>
    <t>INK.pasMare.D2</t>
  </si>
  <si>
    <t>-64,82943</t>
  </si>
  <si>
    <t>INK.pasMare.A2.p7m.2025</t>
  </si>
  <si>
    <t>INK.pasMare.A2</t>
  </si>
  <si>
    <t>2025-05-25 10:00:01</t>
  </si>
  <si>
    <t>-64,83154</t>
  </si>
  <si>
    <t>INK.Mare.D1.m1m.2025</t>
  </si>
  <si>
    <t>INK.Mare.D1</t>
  </si>
  <si>
    <t>2025-05-31 11:00:01</t>
  </si>
  <si>
    <t>-64,83156</t>
  </si>
  <si>
    <t>INK.Mare.D1.p7m.2025</t>
  </si>
  <si>
    <t>-64,83162</t>
  </si>
  <si>
    <t>INK.Mare.D1.p14m.2025</t>
  </si>
  <si>
    <t>-64,83318</t>
  </si>
  <si>
    <t>INK.Mare.D2.m1m.2025</t>
  </si>
  <si>
    <t>INK.Mare.D2</t>
  </si>
  <si>
    <t>2025-05-31 10:00:01</t>
  </si>
  <si>
    <t>-64,83321</t>
  </si>
  <si>
    <t>INK.Mare.D2.p7m.2025</t>
  </si>
  <si>
    <t>-64,83323</t>
  </si>
  <si>
    <t>INK.Mare.D2.p14m.2025</t>
  </si>
  <si>
    <t>-64,83170</t>
  </si>
  <si>
    <t>INK.Mare.D1.p30m.2025</t>
  </si>
  <si>
    <t>2025-05-29 08:00:01</t>
  </si>
  <si>
    <t>-64,83000</t>
  </si>
  <si>
    <t>INK.pasMare.C2.p30m.2025</t>
  </si>
  <si>
    <t>INK.pasMare.C2</t>
  </si>
  <si>
    <t>-64,83207</t>
  </si>
  <si>
    <t>INK.Mare.A1.p14m.2025</t>
  </si>
  <si>
    <t>2025-05-29 09:00:01</t>
  </si>
  <si>
    <t>-64,83215</t>
  </si>
  <si>
    <t>INK.Mare.A1.p30m.2025</t>
  </si>
  <si>
    <t>-64,82816</t>
  </si>
  <si>
    <t>INK.pasMare.A1.p30m.2025</t>
  </si>
  <si>
    <t>INK.pasMare.A1</t>
  </si>
  <si>
    <t>2025-05-29 14:00:01</t>
  </si>
  <si>
    <t>-64,83001</t>
  </si>
  <si>
    <t>INK.pasMare.C2.p14m.2025</t>
  </si>
  <si>
    <t>-64,83332</t>
  </si>
  <si>
    <t>INK.Mare.D2.p30m.2025</t>
  </si>
  <si>
    <t>2025-05-29 10:00:01</t>
  </si>
  <si>
    <t>-64,82939</t>
  </si>
  <si>
    <t>INK.pasMare.A2.p14m.2025</t>
  </si>
  <si>
    <t>2025-05-29 13:00:01</t>
  </si>
  <si>
    <t>-64,82941</t>
  </si>
  <si>
    <t>INK.pasMare.A2.p30m.2025</t>
  </si>
  <si>
    <t>2025-05-29 12:00:01</t>
  </si>
  <si>
    <t>-64,82871</t>
  </si>
  <si>
    <t>INK.pasMare.D1.p7m.2025</t>
  </si>
  <si>
    <t>2025-05-28 09:00:01</t>
  </si>
  <si>
    <t>-64,82872</t>
  </si>
  <si>
    <t>INK.pasMare.D1.p14m.2025</t>
  </si>
  <si>
    <t>-64,82867</t>
  </si>
  <si>
    <t>INK.pasMare.D1.p30m.2025</t>
  </si>
  <si>
    <t>-64,82763</t>
  </si>
  <si>
    <t>INK.pasMare.D2.p7m.2025</t>
  </si>
  <si>
    <t>-64,83273</t>
  </si>
  <si>
    <t>INK.Mare.A2.p14m.2025</t>
  </si>
  <si>
    <t>-64,83202</t>
  </si>
  <si>
    <t>INK.Mare.A1.p7m.2025</t>
  </si>
  <si>
    <t>-64,83279</t>
  </si>
  <si>
    <t>INK.Mare.A2.p30m.2025</t>
  </si>
  <si>
    <t>-64,82822</t>
  </si>
  <si>
    <t>INK.pasMare.A1.m1m.2025</t>
  </si>
  <si>
    <t>2025-05-24 11:00:01</t>
  </si>
  <si>
    <t>-64,83266</t>
  </si>
  <si>
    <t>INK.Mare.A2.p7m.2025</t>
  </si>
  <si>
    <t>-64,82827</t>
  </si>
  <si>
    <t>INK.pasMare.A1.p7m.2025</t>
  </si>
  <si>
    <t>2025-05-30 08:00:01</t>
  </si>
  <si>
    <t>-64,82818</t>
  </si>
  <si>
    <t>INK.pasMare.A1.p14m.2025</t>
  </si>
  <si>
    <t>-64,82948</t>
  </si>
  <si>
    <t>INK.pasMare.A2.m1m.2025</t>
  </si>
  <si>
    <t>-64,82758</t>
  </si>
  <si>
    <t>INK.pasMare.D2.p14m.2025</t>
  </si>
  <si>
    <t>AP;AG</t>
  </si>
  <si>
    <t>INK.pasMare.D2.p30m.2025</t>
  </si>
  <si>
    <t>etiquette erronee, out 21 juill 34;31,6;33,4</t>
  </si>
  <si>
    <t>-64,83357</t>
  </si>
  <si>
    <t>INK.ch3.berms.1.2025</t>
  </si>
  <si>
    <t>INK.ch3.brms</t>
  </si>
  <si>
    <t>echantillon ph ec pris, out 21 juill 50;49,5;48,7, bulleur1 pris en retirant lvlogger</t>
  </si>
  <si>
    <t>2025-05-30 15:00:01</t>
  </si>
  <si>
    <t>-64,83360</t>
  </si>
  <si>
    <t>INK.ch3.berms.2.2025</t>
  </si>
  <si>
    <t>-64,83363</t>
  </si>
  <si>
    <t>INK.ch3.berms.3.2025</t>
  </si>
  <si>
    <t>-64,83665</t>
  </si>
  <si>
    <t>INK.ch3.sprdd.1.2025</t>
  </si>
  <si>
    <t>INK.ch3.sprdd</t>
  </si>
  <si>
    <t>sprdd officiel=berms ancien (pré 28 mai, pré puits) / autour des puits = contaminé par minéral parfois, out 21 juil 36,4;38,1;38,5</t>
  </si>
  <si>
    <t>2025-05-30 16:00:01</t>
  </si>
  <si>
    <t>-64,83667</t>
  </si>
  <si>
    <t>INK.ch3.sprdd.2.2025</t>
  </si>
  <si>
    <t>sprdd officiel=berms ancien (pré 28 mai, pré puits)</t>
  </si>
  <si>
    <t>-64,83679</t>
  </si>
  <si>
    <t>INK.ch3.sprdd.3.2025</t>
  </si>
  <si>
    <t>-64,83086</t>
  </si>
  <si>
    <t>INK.Mare.C1.p7m.2025</t>
  </si>
  <si>
    <t>INK.Mare.C1</t>
  </si>
  <si>
    <t>2025-05-18 10:00:01</t>
  </si>
  <si>
    <t>-64,83005</t>
  </si>
  <si>
    <t>INK.pasMare.C2.m1m.2025</t>
  </si>
  <si>
    <t>-64,83002</t>
  </si>
  <si>
    <t>INK.pasMare.C2.p7m.2025</t>
  </si>
  <si>
    <t>2025-05-28 10:00:01</t>
  </si>
  <si>
    <t>22063139_20250522</t>
  </si>
  <si>
    <t>-64,83190</t>
  </si>
  <si>
    <t>INK.Mare.D1.A1.m9,8m.pre</t>
  </si>
  <si>
    <t>INK.Mare.D1.A1</t>
  </si>
  <si>
    <t>enlevé pour travaux, vieux puits ancien de Benoît</t>
  </si>
  <si>
    <t>2025-05-13 10:00:01</t>
  </si>
  <si>
    <t>2025-05-22 11:00:01</t>
  </si>
  <si>
    <t>STH.D2.m1m.2025.bis</t>
  </si>
  <si>
    <t>STH.D2</t>
  </si>
  <si>
    <t>ne pas utiliser ces lignes</t>
  </si>
  <si>
    <t>STH</t>
  </si>
  <si>
    <t>STH.D2.m1m.2025</t>
  </si>
  <si>
    <t>ODYSSEY</t>
  </si>
  <si>
    <t>calibration</t>
  </si>
  <si>
    <t>offset_measurement</t>
  </si>
  <si>
    <t>* SONDE SUR TY-WRAP - CHANGER EN JUIN, REFAIRE 3 LIGNES DE CALIBRATION</t>
  </si>
  <si>
    <t>STH.C.m1m.2025</t>
  </si>
  <si>
    <t>STH.C</t>
  </si>
  <si>
    <t>41359_20241125</t>
  </si>
  <si>
    <t>STH.C.m1m.2024</t>
  </si>
  <si>
    <t>41361_20241125</t>
  </si>
  <si>
    <t>STH.A2.7m.2024</t>
  </si>
  <si>
    <t>STH.A2</t>
  </si>
  <si>
    <t>Pris l'eau ? En tk dessicant mouillé</t>
  </si>
  <si>
    <t>41362_20241125</t>
  </si>
  <si>
    <t>STH.D3.10m.2024</t>
  </si>
  <si>
    <t>STH.D3</t>
  </si>
  <si>
    <t>41366_20241125</t>
  </si>
  <si>
    <t>STH.D3.30m.2024</t>
  </si>
  <si>
    <t>41370_20241125</t>
  </si>
  <si>
    <t>STH.D3.7m.2024</t>
  </si>
  <si>
    <t>41372_20241125</t>
  </si>
  <si>
    <t>STH.A2.10m.2024</t>
  </si>
  <si>
    <t>41376_20241125</t>
  </si>
  <si>
    <t>STH.A2.m1m.2024</t>
  </si>
  <si>
    <t>Pris l'eau</t>
  </si>
  <si>
    <t>41379_20241125</t>
  </si>
  <si>
    <t>STH.A2.30m.2024</t>
  </si>
  <si>
    <t>41387_20241125</t>
  </si>
  <si>
    <t>STH.D3.m1m.2024</t>
  </si>
  <si>
    <t>42564_20241125</t>
  </si>
  <si>
    <t>STH.C.30m.2024</t>
  </si>
  <si>
    <t>42565_20241125</t>
  </si>
  <si>
    <t>STH.C.10m.2024</t>
  </si>
  <si>
    <t>42566_20241125</t>
  </si>
  <si>
    <t>STH.C.7m.2024</t>
  </si>
  <si>
    <t>OUI, c'est la bonne mesure</t>
  </si>
  <si>
    <t>10279769_20250106</t>
  </si>
  <si>
    <t>INK.ED.70m.2024</t>
  </si>
  <si>
    <t>INK.ED</t>
  </si>
  <si>
    <t>Selon données papier ?/ INITIALEMENT pris en incluant la sonde et en n'étant pas précis au niveau du couvercle arrodi. Voir photos -&gt; couvercle arrondi remesuré (14 janvier) au niveau de la LIGNE de moulage bien visible.</t>
  </si>
  <si>
    <t>JLG</t>
  </si>
  <si>
    <t>10279777_20250106</t>
  </si>
  <si>
    <t>INK.EC.40m.2024</t>
  </si>
  <si>
    <t>INK.EC</t>
  </si>
  <si>
    <t>Selon données papier (oui vérif 14 janv'25) / + bas que 180,5 / INITIALEMENT pris en incluant la sonde. Remesuré (14 janvier).</t>
  </si>
  <si>
    <t>20573974_20250106</t>
  </si>
  <si>
    <t>INK.EB.14m.2024</t>
  </si>
  <si>
    <t>Selon courriel de Benoît (BSH), 29 juillet 2024. Pas besoin de couper pour rabattement de la nappe; puis installé 3 jours avant remise du LL.</t>
  </si>
  <si>
    <t>BSH</t>
  </si>
  <si>
    <t>20853328_20250106</t>
  </si>
  <si>
    <t>INK.EA.m4m.2024</t>
  </si>
  <si>
    <t>Selon courriel de Benoît, 29 juillet 2024. Pas besoin de couper pour rabattement de la nappe; puis installé 3 jours avant remise du LL.</t>
  </si>
  <si>
    <t>Selon données papier ?</t>
  </si>
  <si>
    <t xml:space="preserve"> </t>
  </si>
  <si>
    <t>V</t>
  </si>
  <si>
    <t>fichier créé paramètres</t>
  </si>
  <si>
    <t>brand</t>
  </si>
  <si>
    <t>notes</t>
  </si>
  <si>
    <t>cal lenght choices</t>
  </si>
  <si>
    <t>observers</t>
  </si>
  <si>
    <t xml:space="preserve">&lt;- MONTER CETTE VALIDATION </t>
  </si>
  <si>
    <t>20; 80</t>
  </si>
  <si>
    <t>linear logging / ST-HENRI / SITE FILE IDENTIFICATION : Logger serial number -&gt; PROBE.UID_100.key</t>
  </si>
  <si>
    <t>INK.Mare.C1.m1m.2025</t>
  </si>
  <si>
    <t>20;80</t>
  </si>
  <si>
    <t>idem</t>
  </si>
  <si>
    <t>AG;KP</t>
  </si>
  <si>
    <t>INK.Mare.C1.p14m.2025</t>
  </si>
  <si>
    <t>20;140</t>
  </si>
  <si>
    <t>AG;KP;AP</t>
  </si>
  <si>
    <t>INK.Mare.C1.p30m.2025</t>
  </si>
  <si>
    <t>JLG;MGN</t>
  </si>
  <si>
    <t>JLG; AG</t>
  </si>
  <si>
    <t>ID</t>
  </si>
  <si>
    <t>ID; GB</t>
  </si>
  <si>
    <t>JLG; GB; ID</t>
  </si>
  <si>
    <t>Apporté au labo Hydro le 5 mai par Maryann, pile+fonctionnement+calibraton+installation en juin</t>
  </si>
  <si>
    <t>PAS APPORTÉ // pièces rouillées, contact déficient ? // donne toujours zéro en trace mode</t>
  </si>
  <si>
    <t>date différé</t>
  </si>
  <si>
    <t>8 mai 10h</t>
  </si>
  <si>
    <t>X</t>
  </si>
  <si>
    <t>30 avril 15h</t>
  </si>
  <si>
    <t>x</t>
  </si>
  <si>
    <t>RMVD</t>
  </si>
  <si>
    <t>INK.Mare.A1.m1m.pre</t>
  </si>
  <si>
    <t>INK.Mare.A1.p7m.pre</t>
  </si>
  <si>
    <t>INK.Mare.A1.p14m.pre</t>
  </si>
  <si>
    <t>INK.Mare.A1.p30m.pre</t>
  </si>
  <si>
    <t>INK.Mare.A2.m1m.pre</t>
  </si>
  <si>
    <t>INK.Mare.A2.p7m.pre</t>
  </si>
  <si>
    <t>INK.Mare.A2.p14m.pre</t>
  </si>
  <si>
    <t>INK.Mare.A2.p30m.pre</t>
  </si>
  <si>
    <t>INK.Mare.D1.m1m.pre</t>
  </si>
  <si>
    <t>INK.Mare.D1.p7m.pre</t>
  </si>
  <si>
    <t>INK.Mare.D1.p14m.pre</t>
  </si>
  <si>
    <t>INK.Mare.D1.p30m.pre</t>
  </si>
  <si>
    <t>INK.Mare.D2.m1m.pre</t>
  </si>
  <si>
    <t>INK.Mare.D2.p7m.pre</t>
  </si>
  <si>
    <t>INK.Mare.D2.p14m.pre</t>
  </si>
  <si>
    <t>INK.Mare.D2.p30m.pre</t>
  </si>
  <si>
    <t>INK.pasMare.A1.m1m.pre</t>
  </si>
  <si>
    <t>1 mai 22h30</t>
  </si>
  <si>
    <t>INK.pasMare.A1.p7m.pre</t>
  </si>
  <si>
    <t>5 mai 14h</t>
  </si>
  <si>
    <t>INK.pasMare.A1.p14m.pre</t>
  </si>
  <si>
    <t>12 mai 8h</t>
  </si>
  <si>
    <t>INK.pasMare.A1.p30m.pre</t>
  </si>
  <si>
    <t>15 mai 20h</t>
  </si>
  <si>
    <t>INK.pasMare.A2.m1m.pre</t>
  </si>
  <si>
    <t>INK.pasMare.A2.p7m.pre</t>
  </si>
  <si>
    <t>21 mai 9h</t>
  </si>
  <si>
    <t>INK.pasMare.A2.p14m.pre</t>
  </si>
  <si>
    <t>INK.pasMare.A2.p30m.pre</t>
  </si>
  <si>
    <t>16 juillet 2025 19h</t>
  </si>
  <si>
    <t>INK.pasMare.D1.m1m.pre</t>
  </si>
  <si>
    <t>INK.pasMare.D1.p7m.pre</t>
  </si>
  <si>
    <t>INK.pasMare.D1.p14m.pre</t>
  </si>
  <si>
    <t>INK.pasMare.D1.p30m.pre</t>
  </si>
  <si>
    <t>22 mai 20h</t>
  </si>
  <si>
    <t>INK.pasMare.D2.m1m.pre</t>
  </si>
  <si>
    <t>11 MAI 21H</t>
  </si>
  <si>
    <t>INK.pasMare.D2.p7m.pre</t>
  </si>
  <si>
    <t>INK.pasMare.D2.p14m.pre</t>
  </si>
  <si>
    <t>tr1 BRNTC</t>
  </si>
  <si>
    <t>INK.pasMare.D2.p30m.pre</t>
  </si>
  <si>
    <t>11 MAI 20H</t>
  </si>
  <si>
    <t>tr2 BRNTC</t>
  </si>
  <si>
    <t>INK.ED.70m.2025</t>
  </si>
  <si>
    <t>INK.EC.40m.2025</t>
  </si>
  <si>
    <t>PRO.ch1.C0.noChannels</t>
  </si>
  <si>
    <t>PRO.ch1.C00.keptChannels</t>
  </si>
  <si>
    <t>PRO.ch1.T1.gr.protec</t>
  </si>
  <si>
    <t>PRO.ch1.T2.gr.refrsh</t>
  </si>
  <si>
    <t>PRO.ch1.T3.chippd</t>
  </si>
  <si>
    <t>cal.value</t>
  </si>
  <si>
    <t>non-fonctionnel</t>
  </si>
  <si>
    <t>installés en juin ; noter à quel puits</t>
  </si>
  <si>
    <t>PRO.ch1.T2.refrsh</t>
  </si>
  <si>
    <t>site.uid</t>
  </si>
  <si>
    <t>in.bulleur1.rel.to.surface.cm</t>
  </si>
  <si>
    <t>22224396_20250728</t>
  </si>
  <si>
    <t>out 28/07: 84,5;88;85,2 // DÉFECTUEUX ??</t>
  </si>
  <si>
    <t>* SONDE SUR TY-WRAP = +5cm - 5 mai tywrap sur haut tuyau à  ligne noire / 30 juillet: embout tro petit pas installe tjrs sur tywrap/ CHANGER EN JUIN, REFAIRE 3 LIGNES DE CALIBRATION / # photo 0614</t>
  </si>
  <si>
    <t>STH.C.p28m.2025</t>
  </si>
  <si>
    <t>STH.D2.p9m.2025</t>
  </si>
  <si>
    <t>STH.D2.p8m.2025</t>
  </si>
  <si>
    <t>STH.D2.p25m.2025</t>
  </si>
  <si>
    <t>2,5 m relatif à la crête dans le cas de STH</t>
  </si>
  <si>
    <t>2025-06-23 14:00:01</t>
  </si>
  <si>
    <t>out 21 juill 25,4;25,6;24,7 -&gt; depuis le 15 juin</t>
  </si>
  <si>
    <t>out orig ici / bulleur nécessaire ? mm calib que son homologue 22195248_2025</t>
  </si>
  <si>
    <t>STH.C.p6m.2025</t>
  </si>
  <si>
    <t>STH.C.p9m.2025</t>
  </si>
  <si>
    <t>STH.C.p7,75m.2025</t>
  </si>
  <si>
    <t>STH.D2.p10,5m.2025</t>
  </si>
  <si>
    <t>STH.D2.p6m.2025</t>
  </si>
  <si>
    <t>STH.D2.p4,5m.2025</t>
  </si>
  <si>
    <t>STH.D2.p2,5m.2025</t>
  </si>
  <si>
    <t>STH.D2.p15m.2025</t>
  </si>
  <si>
    <t>STH.C.p6,75m.2025</t>
  </si>
  <si>
    <t>STH.C.p14m.2025</t>
  </si>
  <si>
    <t>STH.C.p2,5m.2025</t>
  </si>
  <si>
    <t>CORRIGE 31 JUILLET 2025 //constante de correction de la profondeur nappe (+5,5+6,5) = 12 cm  // * SONDE SUR TY-WRAP = ligne noire 5cm PLUS BAS aue le tuyay - 5 mai aU30 JUILLET -》 ENSUITE mis le bouchon gris ce qui eleve ligne noire de 6,5 cm parap au tuyau  voir note visuelle vid 1178/ CHANGER EN JUIN, REFAIRE 3 LIGNES DE CALIBRATION / # photo 0614</t>
  </si>
  <si>
    <t>CORRIGE 31 JUILLET 2025 // constante de correction de la profondeur nappe (+5,25+5,7) = 10,95 cm  // voir commentaire complet sonde 25m * SONDE SUR TY-WRAP = +5,25cm ligne noire a ty wrap- tuyau et 5,7 cm ligne noire-haut gris a tuyau / CHANGER EN JUIN, REFAIRE 3 LIGNES DE CALIBRATION / # photo 0614</t>
  </si>
  <si>
    <t>HOBO U20L</t>
  </si>
  <si>
    <t>HOBO U20</t>
  </si>
  <si>
    <t>22220785_20250527</t>
  </si>
  <si>
    <t>PRO.ch1.C0.NoChannels.2025</t>
  </si>
  <si>
    <t>PRO.ch1.C00.keptChannels.2025</t>
  </si>
  <si>
    <t>était écrit comme BRNTC, erreur, changé le 7 août pour PRO</t>
  </si>
  <si>
    <t>mesure bulleur 2 impacté prise de données sonde à11h?</t>
  </si>
  <si>
    <t xml:space="preserve">Présence boue dans puits. </t>
  </si>
  <si>
    <t>À FAIRE</t>
  </si>
  <si>
    <t>bulleur 1 17/09/25 nappe pas accessible  // était écrit comme BRNTC, erreur, changé le 7 août pour PRO</t>
  </si>
  <si>
    <t>BRNTC.ch1.T3</t>
  </si>
  <si>
    <t>BRNTC.ch1.T1</t>
  </si>
  <si>
    <t>BRNTC.ch1.T2</t>
  </si>
  <si>
    <t>BRNTC.ch1.R24</t>
  </si>
  <si>
    <t>BRNTC.ch1.C0</t>
  </si>
  <si>
    <t>BRNTC.ch1.C00</t>
  </si>
  <si>
    <t>PRO.ch1.C00</t>
  </si>
  <si>
    <t>PRO.ch1.C0</t>
  </si>
  <si>
    <t>PRO.ch1.T3</t>
  </si>
  <si>
    <t>PRO.ch1.T2</t>
  </si>
  <si>
    <t>NO</t>
  </si>
  <si>
    <t>STH.C.0canal.2025</t>
  </si>
  <si>
    <t>33"1/2 out moyenne</t>
  </si>
  <si>
    <t>&gt;139,5</t>
  </si>
  <si>
    <t xml:space="preserve">39 et 5/16.. </t>
  </si>
  <si>
    <t>photo 1559 depius quand ? diff =  8,5cm</t>
  </si>
  <si>
    <t>cap deplace depui lgtmps env 4cm  plus  haut (le out )</t>
  </si>
  <si>
    <t>12 nov puits fendu ll tombe au fond... // bulleur1 pris en retirant lvlogger</t>
  </si>
  <si>
    <t>berm vs sprdd echanger ?</t>
  </si>
  <si>
    <t>2025-11-13 10:00:01</t>
  </si>
  <si>
    <t>2025-11-13 12:00:01</t>
  </si>
  <si>
    <t>2025-11-13 13:00:01</t>
  </si>
  <si>
    <t>22224381_20251125</t>
  </si>
  <si>
    <t>22195248_20251125</t>
  </si>
  <si>
    <t>22220791_20251125</t>
  </si>
  <si>
    <t>22195244_20251125</t>
  </si>
  <si>
    <t>22224410_20251125</t>
  </si>
  <si>
    <t>Pour valider les mesures des ODYSSEY / out 27 nov. 2025 = 28cm moyenne</t>
  </si>
  <si>
    <t>_2025.date.fin.idem à sonde uid</t>
  </si>
  <si>
    <t>pourquoi mesuré 18/19 cm out le 27 nov ?</t>
  </si>
  <si>
    <t>CANAL LUI (27 nov)</t>
  </si>
  <si>
    <t>41376 erroné, c'était 41378 tout le long (?)</t>
  </si>
  <si>
    <t>rejected</t>
  </si>
  <si>
    <t>out le 27 nov : ~24,5 ???</t>
  </si>
  <si>
    <t>?? je suis mélangée ?? mesuré ~17</t>
  </si>
  <si>
    <t>22220787_20251128</t>
  </si>
  <si>
    <t>41374_20251128</t>
  </si>
  <si>
    <t>s</t>
  </si>
  <si>
    <t>remesurer le OUT</t>
  </si>
  <si>
    <t>pr. 2026</t>
  </si>
  <si>
    <t>41362_20251128</t>
  </si>
  <si>
    <t>41360_20251128</t>
  </si>
  <si>
    <t>shannon_010 (2025)</t>
  </si>
  <si>
    <t>shannon_011 (2025)</t>
  </si>
  <si>
    <t>shannon_006</t>
  </si>
  <si>
    <t>42566_20251128</t>
  </si>
  <si>
    <t>2025-13-11</t>
  </si>
  <si>
    <t>nappe tombée en dessous longtemps !</t>
  </si>
  <si>
    <t>42565_20281128</t>
  </si>
  <si>
    <t>42562_20251128</t>
  </si>
  <si>
    <t>shannon_001</t>
  </si>
  <si>
    <t>41387_20251128</t>
  </si>
  <si>
    <t>N'a pas enregistré de données…</t>
  </si>
  <si>
    <t>archive out :  56,4  (??) // 27 nov zip level (vs sol du puits m1m) = 27,2 cm // N'a pas enregistré de données…</t>
  </si>
  <si>
    <t>41378_20251128</t>
  </si>
  <si>
    <t>x.archive.cal.station_id</t>
  </si>
  <si>
    <t>ne pas utiliser/verified</t>
  </si>
  <si>
    <t>22063140_20251202</t>
  </si>
  <si>
    <t>verified</t>
  </si>
  <si>
    <t>22224390_20251202</t>
  </si>
  <si>
    <t>22063143_20251202</t>
  </si>
  <si>
    <t>22220783_20251202</t>
  </si>
  <si>
    <t>approved</t>
  </si>
  <si>
    <t>deleted</t>
  </si>
  <si>
    <t>published</t>
  </si>
  <si>
    <t>submitted</t>
  </si>
  <si>
    <t>pending_verification</t>
  </si>
  <si>
    <t>status</t>
  </si>
  <si>
    <t>sprdd officiel=berms ancien (pré 28 mai, pré puits) / problème sonde ??</t>
  </si>
  <si>
    <t>22063138_20251202</t>
  </si>
  <si>
    <t>22224384_20251202</t>
  </si>
  <si>
    <t>22220789_20251202</t>
  </si>
  <si>
    <t>22224401_20251202</t>
  </si>
  <si>
    <t>22224400_20251202</t>
  </si>
  <si>
    <t>22224386_20251202</t>
  </si>
  <si>
    <t>22224407_20251202</t>
  </si>
  <si>
    <t>22195241_20251202</t>
  </si>
  <si>
    <t>22224413_20251202</t>
  </si>
  <si>
    <t>22063156_20251202</t>
  </si>
  <si>
    <t>22224396_20251202</t>
  </si>
  <si>
    <t>22224403_20251202</t>
  </si>
  <si>
    <t>22220782_20251202</t>
  </si>
  <si>
    <t>22224397_20251202</t>
  </si>
  <si>
    <t>22220788_20251202</t>
  </si>
  <si>
    <t>22224408_20251202</t>
  </si>
  <si>
    <t>22224411_20251202</t>
  </si>
  <si>
    <t>22220786_20251202</t>
  </si>
  <si>
    <t>22063137_20251202</t>
  </si>
  <si>
    <t>ne pas utiliser ces lignes//rejected</t>
  </si>
  <si>
    <t>41379_20251203</t>
  </si>
  <si>
    <t>failed to retreive</t>
  </si>
  <si>
    <t>shannon_008</t>
  </si>
  <si>
    <t>41384_20251203</t>
  </si>
  <si>
    <t>41370_20251203</t>
  </si>
  <si>
    <t>42564_20251203</t>
  </si>
  <si>
    <t>41359_20251203</t>
  </si>
  <si>
    <t>41382_20251203</t>
  </si>
  <si>
    <t>Shannon_009</t>
  </si>
  <si>
    <t>41362_100 et shannon_003</t>
  </si>
  <si>
    <t>42563_20251203</t>
  </si>
  <si>
    <t>22224394_20251210</t>
  </si>
  <si>
    <t>22063155_20251210</t>
  </si>
  <si>
    <t>22224399_20251210</t>
  </si>
  <si>
    <t>22195247_20251210</t>
  </si>
  <si>
    <t>22224393_20251210</t>
  </si>
  <si>
    <t>22220790_20251210</t>
  </si>
  <si>
    <t>22063139_20251210</t>
  </si>
  <si>
    <t>22195245_20251210</t>
  </si>
  <si>
    <t>22224395_20251210</t>
  </si>
  <si>
    <t>22220785_20251210</t>
  </si>
  <si>
    <t>22224392_20251210</t>
  </si>
  <si>
    <t>22224387_20251210</t>
  </si>
  <si>
    <t>22195242_20251210</t>
  </si>
  <si>
    <t>22195240_20251210</t>
  </si>
  <si>
    <t>22063141_20251210</t>
  </si>
  <si>
    <t>22224391_20251210</t>
  </si>
  <si>
    <t>22224388_20251210</t>
  </si>
  <si>
    <t>22063142_20251210</t>
  </si>
  <si>
    <t>22220781_20251210</t>
  </si>
  <si>
    <t>22224389_20251210</t>
  </si>
  <si>
    <t>22224414_20251210</t>
  </si>
  <si>
    <t>22063159_20251210</t>
  </si>
  <si>
    <t>22224385_20251210</t>
  </si>
  <si>
    <t>22224402_20251210</t>
  </si>
  <si>
    <t>22224412_20251210</t>
  </si>
  <si>
    <t>22195246_20251210</t>
  </si>
  <si>
    <t>22195243_20251210</t>
  </si>
  <si>
    <t>22224409_20251210</t>
  </si>
  <si>
    <t>oups 0874 erreur pré 10 déc. 2025, mais éliminé toute autre possibilité</t>
  </si>
  <si>
    <t>22220784_20251210</t>
  </si>
  <si>
    <t>inextractible // Shannon_002</t>
  </si>
  <si>
    <t>inextractible // STH ET shannon_013</t>
  </si>
  <si>
    <t>file.uid</t>
  </si>
  <si>
    <t>long_negative_cal.length_mm</t>
  </si>
  <si>
    <t>accept.if.resolved</t>
  </si>
  <si>
    <t>PROBLEME D'EN TETE ** / https://www.onsetcomp.com/resources/how-to-videos/what-file-header-and-what-force-offload?srsltid=AfmBOopRzBSCE3ifXS8p69MibLppHOaAKzqIlCCESrwqWBqZnsWTajDY</t>
  </si>
  <si>
    <t>in.bulleur.measure.status</t>
  </si>
  <si>
    <t>où lui ? mm affaire que 41378 ? OUI (était 41376) CHANGÉ POUR 41378 14 JANV 2026</t>
  </si>
  <si>
    <t>ALLER METTRE SONDE DANS PUITS NATUREL INSTALLÉ EN 2026 -&gt; VOIR QGIS </t>
  </si>
  <si>
    <t>out.mean.cm</t>
  </si>
  <si>
    <t>out.1.a.cm</t>
  </si>
  <si>
    <t>out.1.b.cm</t>
  </si>
  <si>
    <t>out.1.c.cm</t>
  </si>
  <si>
    <t>out.2.a.cm</t>
  </si>
  <si>
    <t>out.2.b.cm</t>
  </si>
  <si>
    <t>out.2.c.cm</t>
  </si>
  <si>
    <t>x.archive.out.long.tuyau.sol.cm</t>
  </si>
  <si>
    <t>x.archive.pt.haut.cm</t>
  </si>
  <si>
    <t>x.archive.pt.bas1.cm</t>
  </si>
  <si>
    <t>x.archive.pt.bas2.cm</t>
  </si>
  <si>
    <t>x.archive.pt.bas3.cm</t>
  </si>
  <si>
    <t>22224406_20250120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</si>
</sst>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00"/>
    <numFmt numFmtId="166" formatCode="_ * #,##0.0_)_ ;_ * \(#,##0.0\)_ ;_ * &quot;-&quot;??_)_ ;_ @_ "/>
    <numFmt numFmtId="167" formatCode="0.00000"/>
    <numFmt numFmtId="168" formatCode="yyyy/mm/dd\ hh:mm:ss"/>
  </numFmts>
  <fonts count="3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0000"/>
      <name val="Aptos Narrow"/>
      <scheme val="minor"/>
    </font>
    <font>
      <sz val="11"/>
      <color theme="1"/>
      <name val="Arial"/>
      <family val="2"/>
    </font>
    <font>
      <sz val="12"/>
      <name val="Aptos Narrow"/>
      <family val="2"/>
    </font>
    <font>
      <sz val="20"/>
      <color theme="0"/>
      <name val="Aptos Narrow"/>
      <family val="2"/>
      <scheme val="minor"/>
    </font>
    <font>
      <b/>
      <sz val="20"/>
      <color theme="1"/>
      <name val="Aptos Narrow"/>
      <scheme val="minor"/>
    </font>
    <font>
      <sz val="20"/>
      <color theme="1"/>
      <name val="Aptos Narrow"/>
      <scheme val="minor"/>
    </font>
    <font>
      <sz val="20"/>
      <color rgb="FFFF0000"/>
      <name val="Aptos Narrow"/>
      <scheme val="minor"/>
    </font>
    <font>
      <sz val="50"/>
      <color rgb="FFFF0000"/>
      <name val="Aptos Narrow"/>
      <scheme val="minor"/>
    </font>
    <font>
      <sz val="12"/>
      <color theme="1"/>
      <name val="Aptos Narrow"/>
      <scheme val="minor"/>
    </font>
    <font>
      <sz val="20"/>
      <color rgb="FF339966"/>
      <name val="Aptos Narrow"/>
      <scheme val="minor"/>
    </font>
    <font>
      <sz val="11"/>
      <color rgb="FFFF0000"/>
      <name val="Arial"/>
      <family val="2"/>
    </font>
    <font>
      <sz val="12"/>
      <color theme="5"/>
      <name val="Aptos Narrow"/>
      <family val="2"/>
      <scheme val="minor"/>
    </font>
    <font>
      <sz val="11"/>
      <color theme="5"/>
      <name val="Arial"/>
      <family val="2"/>
    </font>
    <font>
      <sz val="12"/>
      <color rgb="FFFF0000"/>
      <name val="Aptos Narrow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0">
    <xf numFmtId="0" fontId="0" fillId="0" borderId="0" xfId="0"/>
    <xf numFmtId="0" fontId="0" fillId="0" borderId="0" xfId="0" quotePrefix="1"/>
    <xf numFmtId="0" fontId="0" fillId="0" borderId="12" xfId="0" applyBorder="1"/>
    <xf numFmtId="0" fontId="18" fillId="0" borderId="0" xfId="0" applyFont="1"/>
    <xf numFmtId="0" fontId="18" fillId="0" borderId="12" xfId="0" applyFont="1" applyBorder="1"/>
    <xf numFmtId="0" fontId="0" fillId="33" borderId="0" xfId="0" applyFill="1"/>
    <xf numFmtId="0" fontId="0" fillId="0" borderId="0" xfId="0" applyAlignment="1">
      <alignment wrapText="1"/>
    </xf>
    <xf numFmtId="0" fontId="0" fillId="35" borderId="0" xfId="0" applyFill="1"/>
    <xf numFmtId="0" fontId="19" fillId="0" borderId="0" xfId="0" applyFont="1"/>
    <xf numFmtId="0" fontId="0" fillId="34" borderId="0" xfId="0" applyFill="1"/>
    <xf numFmtId="0" fontId="0" fillId="35" borderId="12" xfId="0" applyFill="1" applyBorder="1"/>
    <xf numFmtId="0" fontId="0" fillId="0" borderId="12" xfId="0" applyBorder="1" applyAlignment="1">
      <alignment wrapText="1"/>
    </xf>
    <xf numFmtId="0" fontId="0" fillId="36" borderId="0" xfId="0" applyFill="1"/>
    <xf numFmtId="0" fontId="21" fillId="0" borderId="0" xfId="0" applyFont="1"/>
    <xf numFmtId="0" fontId="21" fillId="0" borderId="10" xfId="0" applyFont="1" applyBorder="1"/>
    <xf numFmtId="0" fontId="22" fillId="0" borderId="0" xfId="0" applyFont="1"/>
    <xf numFmtId="0" fontId="23" fillId="0" borderId="0" xfId="0" applyFont="1"/>
    <xf numFmtId="0" fontId="24" fillId="0" borderId="0" xfId="0" applyFont="1"/>
    <xf numFmtId="0" fontId="25" fillId="36" borderId="0" xfId="0" applyFont="1" applyFill="1"/>
    <xf numFmtId="0" fontId="21" fillId="0" borderId="13" xfId="0" applyFont="1" applyBorder="1"/>
    <xf numFmtId="0" fontId="24" fillId="0" borderId="11" xfId="0" applyFont="1" applyBorder="1"/>
    <xf numFmtId="0" fontId="19" fillId="0" borderId="12" xfId="0" applyFont="1" applyBorder="1"/>
    <xf numFmtId="0" fontId="27" fillId="0" borderId="0" xfId="0" applyFont="1"/>
    <xf numFmtId="0" fontId="0" fillId="37" borderId="0" xfId="0" applyFill="1"/>
    <xf numFmtId="0" fontId="0" fillId="33" borderId="12" xfId="0" applyFill="1" applyBorder="1"/>
    <xf numFmtId="0" fontId="28" fillId="0" borderId="0" xfId="0" quotePrefix="1" applyFont="1"/>
    <xf numFmtId="0" fontId="26" fillId="0" borderId="0" xfId="0" applyFont="1"/>
    <xf numFmtId="0" fontId="26" fillId="0" borderId="0" xfId="0" applyFont="1" applyAlignment="1">
      <alignment horizontal="center"/>
    </xf>
    <xf numFmtId="165" fontId="26" fillId="0" borderId="0" xfId="0" applyNumberFormat="1" applyFont="1"/>
    <xf numFmtId="14" fontId="26" fillId="0" borderId="0" xfId="0" applyNumberFormat="1" applyFont="1"/>
    <xf numFmtId="164" fontId="26" fillId="0" borderId="0" xfId="0" applyNumberFormat="1" applyFont="1"/>
    <xf numFmtId="21" fontId="26" fillId="0" borderId="0" xfId="0" applyNumberFormat="1" applyFont="1"/>
    <xf numFmtId="165" fontId="24" fillId="0" borderId="0" xfId="0" applyNumberFormat="1" applyFont="1"/>
    <xf numFmtId="165" fontId="24" fillId="0" borderId="0" xfId="0" quotePrefix="1" applyNumberFormat="1" applyFont="1"/>
    <xf numFmtId="22" fontId="24" fillId="0" borderId="0" xfId="0" applyNumberFormat="1" applyFont="1"/>
    <xf numFmtId="0" fontId="24" fillId="0" borderId="0" xfId="0" quotePrefix="1" applyFont="1" applyAlignment="1">
      <alignment horizontal="center"/>
    </xf>
    <xf numFmtId="164" fontId="24" fillId="0" borderId="0" xfId="0" applyNumberFormat="1" applyFont="1"/>
    <xf numFmtId="0" fontId="24" fillId="36" borderId="0" xfId="0" applyFont="1" applyFill="1"/>
    <xf numFmtId="14" fontId="24" fillId="0" borderId="0" xfId="0" applyNumberFormat="1" applyFont="1"/>
    <xf numFmtId="21" fontId="24" fillId="0" borderId="0" xfId="0" applyNumberFormat="1" applyFont="1"/>
    <xf numFmtId="0" fontId="24" fillId="0" borderId="0" xfId="0" applyFont="1" applyAlignment="1">
      <alignment horizontal="center"/>
    </xf>
    <xf numFmtId="0" fontId="26" fillId="33" borderId="0" xfId="0" applyFont="1" applyFill="1"/>
    <xf numFmtId="164" fontId="19" fillId="0" borderId="0" xfId="0" applyNumberFormat="1" applyFont="1" applyAlignment="1">
      <alignment horizontal="center"/>
    </xf>
    <xf numFmtId="164" fontId="26" fillId="0" borderId="0" xfId="0" applyNumberFormat="1" applyFont="1" applyAlignment="1">
      <alignment horizontal="center"/>
    </xf>
    <xf numFmtId="164" fontId="24" fillId="0" borderId="0" xfId="0" applyNumberFormat="1" applyFont="1" applyAlignment="1">
      <alignment horizontal="center"/>
    </xf>
    <xf numFmtId="1" fontId="26" fillId="0" borderId="0" xfId="0" applyNumberFormat="1" applyFont="1"/>
    <xf numFmtId="1" fontId="24" fillId="0" borderId="0" xfId="0" applyNumberFormat="1" applyFont="1"/>
    <xf numFmtId="168" fontId="26" fillId="0" borderId="0" xfId="0" applyNumberFormat="1" applyFont="1"/>
    <xf numFmtId="168" fontId="24" fillId="0" borderId="0" xfId="0" applyNumberFormat="1" applyFont="1"/>
    <xf numFmtId="0" fontId="29" fillId="0" borderId="0" xfId="0" applyFont="1"/>
    <xf numFmtId="0" fontId="30" fillId="0" borderId="0" xfId="0" applyFont="1"/>
    <xf numFmtId="0" fontId="31" fillId="0" borderId="0" xfId="0" applyFont="1"/>
    <xf numFmtId="0" fontId="30" fillId="0" borderId="15" xfId="0" applyFont="1" applyBorder="1"/>
    <xf numFmtId="0" fontId="32" fillId="0" borderId="0" xfId="0" applyFont="1"/>
    <xf numFmtId="0" fontId="33" fillId="0" borderId="0" xfId="0" applyFont="1"/>
    <xf numFmtId="0" fontId="34" fillId="0" borderId="0" xfId="0" applyFont="1"/>
    <xf numFmtId="1" fontId="19" fillId="0" borderId="0" xfId="0" applyNumberFormat="1" applyFont="1"/>
    <xf numFmtId="168" fontId="19" fillId="0" borderId="0" xfId="0" applyNumberFormat="1" applyFont="1"/>
    <xf numFmtId="166" fontId="19" fillId="0" borderId="0" xfId="0" applyNumberFormat="1" applyFont="1"/>
    <xf numFmtId="14" fontId="19" fillId="0" borderId="0" xfId="0" applyNumberFormat="1" applyFont="1"/>
    <xf numFmtId="21" fontId="19" fillId="0" borderId="0" xfId="0" applyNumberFormat="1" applyFont="1"/>
    <xf numFmtId="167" fontId="19" fillId="0" borderId="0" xfId="0" applyNumberFormat="1" applyFont="1"/>
    <xf numFmtId="0" fontId="19" fillId="36" borderId="0" xfId="0" applyFont="1" applyFill="1"/>
    <xf numFmtId="164" fontId="19" fillId="0" borderId="0" xfId="0" applyNumberFormat="1" applyFont="1"/>
    <xf numFmtId="49" fontId="26" fillId="0" borderId="0" xfId="0" applyNumberFormat="1" applyFont="1"/>
    <xf numFmtId="0" fontId="24" fillId="37" borderId="0" xfId="0" applyFont="1" applyFill="1"/>
    <xf numFmtId="0" fontId="14" fillId="0" borderId="0" xfId="0" applyFont="1"/>
    <xf numFmtId="0" fontId="14" fillId="36" borderId="0" xfId="0" applyFont="1" applyFill="1"/>
    <xf numFmtId="0" fontId="35" fillId="0" borderId="0" xfId="0" applyFont="1"/>
    <xf numFmtId="168" fontId="14" fillId="36" borderId="0" xfId="0" applyNumberFormat="1" applyFont="1" applyFill="1"/>
    <xf numFmtId="168" fontId="14" fillId="0" borderId="0" xfId="0" applyNumberFormat="1" applyFont="1"/>
    <xf numFmtId="166" fontId="14" fillId="36" borderId="0" xfId="0" applyNumberFormat="1" applyFont="1" applyFill="1"/>
    <xf numFmtId="164" fontId="14" fillId="36" borderId="0" xfId="0" applyNumberFormat="1" applyFont="1" applyFill="1" applyAlignment="1">
      <alignment horizontal="center"/>
    </xf>
    <xf numFmtId="14" fontId="35" fillId="36" borderId="0" xfId="0" applyNumberFormat="1" applyFont="1" applyFill="1"/>
    <xf numFmtId="21" fontId="14" fillId="36" borderId="0" xfId="0" applyNumberFormat="1" applyFont="1" applyFill="1"/>
    <xf numFmtId="166" fontId="36" fillId="0" borderId="0" xfId="0" applyNumberFormat="1" applyFont="1"/>
    <xf numFmtId="0" fontId="37" fillId="0" borderId="0" xfId="0" applyFont="1"/>
    <xf numFmtId="0" fontId="36" fillId="0" borderId="0" xfId="0" applyFont="1"/>
    <xf numFmtId="1" fontId="38" fillId="0" borderId="0" xfId="0" applyNumberFormat="1" applyFont="1"/>
    <xf numFmtId="1" fontId="38" fillId="0" borderId="14" xfId="0" applyNumberFormat="1" applyFont="1" applyBorder="1"/>
    <xf numFmtId="168" fontId="26" fillId="36" borderId="0" xfId="0" applyNumberFormat="1" applyFont="1" applyFill="1"/>
    <xf numFmtId="0" fontId="35" fillId="36" borderId="0" xfId="0" applyFont="1" applyFill="1"/>
    <xf numFmtId="1" fontId="14" fillId="36" borderId="0" xfId="0" applyNumberFormat="1" applyFont="1" applyFill="1"/>
    <xf numFmtId="165" fontId="26" fillId="0" borderId="0" xfId="0" quotePrefix="1" applyNumberFormat="1" applyFont="1"/>
    <xf numFmtId="22" fontId="26" fillId="0" borderId="0" xfId="0" applyNumberFormat="1" applyFont="1"/>
    <xf numFmtId="0" fontId="26" fillId="37" borderId="0" xfId="0" applyFont="1" applyFill="1"/>
    <xf numFmtId="0" fontId="26" fillId="37" borderId="0" xfId="0" quotePrefix="1" applyFont="1" applyFill="1"/>
    <xf numFmtId="0" fontId="24" fillId="38" borderId="0" xfId="0" applyFont="1" applyFill="1"/>
    <xf numFmtId="1" fontId="26" fillId="37" borderId="0" xfId="0" applyNumberFormat="1" applyFont="1" applyFill="1"/>
    <xf numFmtId="168" fontId="24" fillId="37" borderId="0" xfId="0" applyNumberFormat="1" applyFont="1" applyFill="1"/>
    <xf numFmtId="0" fontId="26" fillId="37" borderId="0" xfId="0" applyFont="1" applyFill="1" applyAlignment="1">
      <alignment horizontal="center"/>
    </xf>
    <xf numFmtId="164" fontId="26" fillId="37" borderId="0" xfId="0" applyNumberFormat="1" applyFont="1" applyFill="1"/>
    <xf numFmtId="2" fontId="26" fillId="37" borderId="0" xfId="0" applyNumberFormat="1" applyFont="1" applyFill="1"/>
    <xf numFmtId="164" fontId="24" fillId="37" borderId="0" xfId="0" applyNumberFormat="1" applyFont="1" applyFill="1" applyAlignment="1">
      <alignment horizontal="center"/>
    </xf>
    <xf numFmtId="14" fontId="26" fillId="37" borderId="0" xfId="0" applyNumberFormat="1" applyFont="1" applyFill="1"/>
    <xf numFmtId="21" fontId="26" fillId="37" borderId="0" xfId="0" applyNumberFormat="1" applyFont="1" applyFill="1"/>
    <xf numFmtId="2" fontId="26" fillId="0" borderId="0" xfId="0" applyNumberFormat="1" applyFont="1"/>
    <xf numFmtId="166" fontId="0" fillId="0" borderId="0" xfId="0" applyNumberFormat="1"/>
    <xf numFmtId="164" fontId="0" fillId="0" borderId="0" xfId="0" applyNumberFormat="1" applyAlignment="1">
      <alignment horizontal="center"/>
    </xf>
    <xf numFmtId="14" fontId="14" fillId="0" borderId="0" xfId="0" applyNumberFormat="1" applyFont="1"/>
    <xf numFmtId="21" fontId="14" fillId="0" borderId="0" xfId="0" applyNumberFormat="1" applyFont="1"/>
    <xf numFmtId="14" fontId="35" fillId="0" borderId="0" xfId="0" applyNumberFormat="1" applyFont="1"/>
    <xf numFmtId="166" fontId="19" fillId="36" borderId="0" xfId="0" applyNumberFormat="1" applyFont="1" applyFill="1"/>
    <xf numFmtId="0" fontId="26" fillId="36" borderId="0" xfId="0" applyFont="1" applyFill="1"/>
    <xf numFmtId="14" fontId="26" fillId="36" borderId="0" xfId="0" applyNumberFormat="1" applyFont="1" applyFill="1"/>
    <xf numFmtId="21" fontId="26" fillId="36" borderId="0" xfId="0" applyNumberFormat="1" applyFont="1" applyFill="1"/>
    <xf numFmtId="1" fontId="0" fillId="0" borderId="0" xfId="0" applyNumberFormat="1"/>
    <xf numFmtId="168" fontId="0" fillId="0" borderId="0" xfId="0" applyNumberFormat="1"/>
    <xf numFmtId="14" fontId="0" fillId="0" borderId="0" xfId="0" applyNumberFormat="1"/>
    <xf numFmtId="2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&gt;139,5</v>
    <v>2</v>
    <v>5</v>
    <v>5</v>
  </rv>
</rvData>
</file>

<file path=xl/richData/rdrichvaluestructure.xml><?xml version="1.0" encoding="utf-8"?>
<rvStructures xmlns="http://schemas.microsoft.com/office/spreadsheetml/2017/richdata" count="1">
  <s t="_error">
    <k n="argument" t="s"/>
    <k n="errorType" t="i"/>
    <k n="ptg" t="i"/>
    <k n="subType" t="i"/>
  </s>
</rvStructure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4A26A-AA88-5141-A80F-0047E8DCD353}">
  <dimension ref="A1:X29"/>
  <sheetViews>
    <sheetView workbookViewId="0">
      <selection activeCell="B9" sqref="B9"/>
    </sheetView>
  </sheetViews>
  <sheetFormatPr baseColWidth="10" defaultColWidth="10.83203125" defaultRowHeight="27" x14ac:dyDescent="0.35"/>
  <cols>
    <col min="2" max="9" width="10.83203125" style="50"/>
    <col min="10" max="10" width="10.83203125" style="52"/>
    <col min="11" max="13" width="10.83203125" style="50"/>
  </cols>
  <sheetData>
    <row r="1" spans="1:24" x14ac:dyDescent="0.35">
      <c r="A1" s="54"/>
      <c r="J1" s="50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</row>
    <row r="2" spans="1:24" ht="65" x14ac:dyDescent="0.75">
      <c r="A2" s="54"/>
      <c r="B2" s="53" t="s">
        <v>426</v>
      </c>
      <c r="J2" s="50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</row>
    <row r="3" spans="1:24" x14ac:dyDescent="0.35">
      <c r="A3" s="54"/>
      <c r="B3" s="55"/>
      <c r="J3" s="50"/>
      <c r="N3" s="54"/>
      <c r="O3" s="54"/>
      <c r="P3" s="54"/>
      <c r="Q3" s="54"/>
      <c r="R3" s="54"/>
      <c r="S3" s="54"/>
      <c r="T3" s="50"/>
      <c r="U3" s="54"/>
      <c r="V3" s="54"/>
      <c r="W3" s="54"/>
      <c r="X3" s="54"/>
    </row>
    <row r="4" spans="1:24" x14ac:dyDescent="0.35">
      <c r="A4" s="54"/>
      <c r="B4" s="49"/>
      <c r="J4" s="49"/>
      <c r="N4" s="54"/>
      <c r="O4" s="54"/>
      <c r="P4" s="50"/>
      <c r="Q4" s="50"/>
      <c r="R4" s="50"/>
      <c r="S4" s="50"/>
      <c r="T4" s="50"/>
      <c r="U4" s="54"/>
      <c r="V4" s="54"/>
      <c r="W4" s="54"/>
      <c r="X4" s="54"/>
    </row>
    <row r="5" spans="1:24" x14ac:dyDescent="0.35">
      <c r="A5" s="54"/>
      <c r="B5" s="49" t="s">
        <v>253</v>
      </c>
      <c r="J5" s="51"/>
      <c r="K5" s="54"/>
      <c r="L5" s="54"/>
      <c r="M5" s="54"/>
      <c r="N5" s="54"/>
      <c r="O5" s="54"/>
      <c r="P5" s="54"/>
      <c r="Q5" s="50"/>
      <c r="R5" s="50"/>
      <c r="S5" s="50"/>
      <c r="T5" s="54"/>
      <c r="U5" s="54"/>
      <c r="V5" s="54"/>
      <c r="W5" s="54"/>
    </row>
    <row r="6" spans="1:24" x14ac:dyDescent="0.35">
      <c r="A6" s="54"/>
      <c r="B6" s="78">
        <v>41362</v>
      </c>
      <c r="C6" s="51" t="s">
        <v>466</v>
      </c>
      <c r="E6" s="50" t="s">
        <v>467</v>
      </c>
      <c r="J6" s="50"/>
      <c r="L6" s="54"/>
      <c r="M6" s="54"/>
      <c r="N6" s="54"/>
      <c r="O6" s="54"/>
      <c r="P6" s="50"/>
      <c r="Q6" s="50"/>
      <c r="R6" s="50"/>
      <c r="S6" s="54"/>
      <c r="T6" s="54"/>
      <c r="U6" s="54"/>
      <c r="V6" s="54"/>
    </row>
    <row r="7" spans="1:24" x14ac:dyDescent="0.35">
      <c r="A7" s="54"/>
      <c r="B7" s="79">
        <v>42562</v>
      </c>
      <c r="C7" s="51" t="s">
        <v>466</v>
      </c>
      <c r="E7" s="50" t="s">
        <v>467</v>
      </c>
      <c r="J7" s="50"/>
      <c r="L7" s="54"/>
      <c r="M7" s="54"/>
      <c r="N7" s="54"/>
      <c r="O7" s="54"/>
      <c r="P7" s="50"/>
      <c r="Q7" s="50"/>
      <c r="R7" s="50"/>
      <c r="S7" s="54"/>
      <c r="T7" s="54"/>
      <c r="U7" s="54"/>
      <c r="V7" s="54"/>
    </row>
    <row r="8" spans="1:24" x14ac:dyDescent="0.35">
      <c r="A8" s="54"/>
      <c r="J8" s="50"/>
      <c r="L8" s="54"/>
      <c r="M8" s="54"/>
      <c r="N8" s="54"/>
      <c r="O8" s="54"/>
      <c r="P8" s="50"/>
      <c r="Q8" s="50"/>
      <c r="R8" s="50"/>
      <c r="S8" s="54"/>
      <c r="T8" s="54"/>
      <c r="U8" s="54"/>
      <c r="V8" s="54"/>
    </row>
    <row r="9" spans="1:24" x14ac:dyDescent="0.35">
      <c r="A9" s="54"/>
      <c r="B9" s="50" t="s">
        <v>566</v>
      </c>
      <c r="J9" s="50"/>
      <c r="L9" s="54"/>
      <c r="M9" s="54"/>
      <c r="N9" s="54"/>
      <c r="O9" s="54"/>
      <c r="P9" s="50"/>
      <c r="Q9" s="50"/>
      <c r="R9" s="50"/>
      <c r="S9" s="54"/>
      <c r="T9" s="54"/>
      <c r="U9" s="54"/>
      <c r="V9" s="54"/>
    </row>
    <row r="10" spans="1:24" x14ac:dyDescent="0.35">
      <c r="A10" s="54"/>
      <c r="J10" s="49"/>
      <c r="L10" s="54"/>
      <c r="M10" s="54"/>
      <c r="N10" s="54"/>
      <c r="O10" s="54"/>
      <c r="P10" s="50"/>
      <c r="Q10" s="50"/>
      <c r="R10" s="50"/>
      <c r="S10" s="54"/>
      <c r="T10" s="54"/>
      <c r="U10" s="54"/>
      <c r="V10" s="54"/>
    </row>
    <row r="11" spans="1:24" x14ac:dyDescent="0.35">
      <c r="A11" s="54"/>
      <c r="J11" s="54"/>
      <c r="K11" s="54"/>
      <c r="L11" s="54"/>
      <c r="M11" s="54"/>
      <c r="N11" s="50"/>
      <c r="O11" s="50"/>
      <c r="P11" s="50"/>
      <c r="Q11" s="54"/>
      <c r="R11" s="54"/>
      <c r="S11" s="54"/>
      <c r="T11" s="54"/>
    </row>
    <row r="12" spans="1:24" x14ac:dyDescent="0.35">
      <c r="A12" s="54"/>
      <c r="I12" s="51"/>
      <c r="J12" s="50"/>
      <c r="L12" s="54"/>
      <c r="M12" s="54"/>
      <c r="N12" s="54"/>
      <c r="O12" s="54"/>
      <c r="P12" s="50"/>
      <c r="Q12" s="50"/>
      <c r="R12" s="50"/>
      <c r="S12" s="54"/>
      <c r="T12" s="54"/>
      <c r="U12" s="54"/>
      <c r="V12" s="54"/>
    </row>
    <row r="13" spans="1:24" x14ac:dyDescent="0.35">
      <c r="A13" s="54"/>
      <c r="B13" s="51"/>
      <c r="J13" s="50"/>
      <c r="M13" s="54"/>
      <c r="N13" s="54"/>
      <c r="O13" s="54"/>
      <c r="P13" s="54"/>
      <c r="Q13" s="50"/>
      <c r="R13" s="50"/>
      <c r="S13" s="50"/>
      <c r="T13" s="54"/>
      <c r="U13" s="54"/>
      <c r="V13" s="54"/>
      <c r="W13" s="54"/>
    </row>
    <row r="14" spans="1:24" x14ac:dyDescent="0.35">
      <c r="A14" s="54"/>
      <c r="J14" s="50"/>
      <c r="N14" s="54"/>
      <c r="O14" s="54"/>
      <c r="P14" s="54"/>
      <c r="Q14" s="54"/>
      <c r="R14" s="50"/>
      <c r="S14" s="50"/>
      <c r="T14" s="50"/>
      <c r="U14" s="54"/>
      <c r="V14" s="54"/>
      <c r="W14" s="54"/>
      <c r="X14" s="54"/>
    </row>
    <row r="15" spans="1:24" x14ac:dyDescent="0.35">
      <c r="A15" s="54"/>
      <c r="J15" s="50"/>
      <c r="N15" s="54"/>
      <c r="O15" s="54"/>
      <c r="P15" s="54"/>
      <c r="Q15" s="54"/>
      <c r="R15" s="50"/>
      <c r="S15" s="50"/>
      <c r="T15" s="50"/>
      <c r="U15" s="54"/>
      <c r="V15" s="54"/>
      <c r="W15" s="54"/>
      <c r="X15" s="54"/>
    </row>
    <row r="16" spans="1:24" x14ac:dyDescent="0.35">
      <c r="A16" s="54"/>
      <c r="J16" s="50"/>
      <c r="M16" s="54"/>
      <c r="N16" s="54"/>
      <c r="O16" s="54"/>
      <c r="P16" s="54"/>
      <c r="Q16" s="50"/>
      <c r="R16" s="50"/>
      <c r="S16" s="50"/>
      <c r="T16" s="54"/>
      <c r="U16" s="54"/>
      <c r="V16" s="54"/>
      <c r="W16" s="54"/>
    </row>
    <row r="17" spans="1:24" x14ac:dyDescent="0.35">
      <c r="A17" s="54"/>
      <c r="J17" s="50"/>
      <c r="M17" s="54"/>
      <c r="N17" s="54"/>
      <c r="O17" s="54"/>
      <c r="P17" s="54"/>
      <c r="Q17" s="50"/>
      <c r="R17" s="50"/>
      <c r="S17" s="50"/>
      <c r="T17" s="54"/>
      <c r="U17" s="54"/>
      <c r="V17" s="54"/>
      <c r="W17" s="54"/>
    </row>
    <row r="18" spans="1:24" x14ac:dyDescent="0.35">
      <c r="A18" s="54"/>
      <c r="J18" s="50"/>
      <c r="N18" s="54"/>
      <c r="O18" s="54"/>
      <c r="P18" s="54"/>
      <c r="Q18" s="54"/>
      <c r="R18" s="50"/>
      <c r="S18" s="50"/>
      <c r="T18" s="50"/>
      <c r="U18" s="54"/>
      <c r="V18" s="54"/>
      <c r="W18" s="54"/>
      <c r="X18" s="54"/>
    </row>
    <row r="19" spans="1:24" x14ac:dyDescent="0.35">
      <c r="A19" s="54"/>
      <c r="J19" s="50"/>
      <c r="N19" s="54"/>
      <c r="O19" s="54"/>
      <c r="P19" s="54"/>
      <c r="Q19" s="54"/>
      <c r="R19" s="50"/>
      <c r="S19" s="50"/>
      <c r="T19" s="50"/>
      <c r="U19" s="54"/>
      <c r="V19" s="54"/>
      <c r="W19" s="54"/>
      <c r="X19" s="54"/>
    </row>
    <row r="20" spans="1:24" x14ac:dyDescent="0.35">
      <c r="A20" s="54"/>
      <c r="J20" s="50"/>
      <c r="N20" s="54"/>
      <c r="O20" s="54"/>
      <c r="P20" s="54"/>
      <c r="Q20" s="54"/>
      <c r="R20" s="50"/>
      <c r="S20" s="50"/>
      <c r="T20" s="50"/>
      <c r="U20" s="50"/>
      <c r="V20" s="50"/>
      <c r="W20" s="50"/>
      <c r="X20" s="50"/>
    </row>
    <row r="21" spans="1:24" x14ac:dyDescent="0.35">
      <c r="A21" s="54"/>
      <c r="B21" s="49"/>
      <c r="J21" s="50"/>
      <c r="M21" s="54"/>
      <c r="N21" s="54"/>
      <c r="O21" s="54"/>
      <c r="P21" s="54"/>
      <c r="Q21" s="50"/>
      <c r="R21" s="50"/>
      <c r="S21" s="50"/>
      <c r="T21" s="50"/>
      <c r="U21" s="50"/>
      <c r="V21" s="50"/>
      <c r="W21" s="50"/>
    </row>
    <row r="22" spans="1:24" x14ac:dyDescent="0.35">
      <c r="A22" s="54"/>
      <c r="J22" s="50"/>
      <c r="K22" s="54"/>
      <c r="L22" s="54"/>
      <c r="M22" s="54"/>
      <c r="N22" s="54"/>
      <c r="O22" s="50"/>
      <c r="P22" s="50"/>
      <c r="Q22" s="50"/>
      <c r="R22" s="50"/>
      <c r="S22" s="50"/>
      <c r="T22" s="50"/>
      <c r="U22" s="50"/>
    </row>
    <row r="23" spans="1:24" x14ac:dyDescent="0.35">
      <c r="A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</row>
    <row r="24" spans="1:24" x14ac:dyDescent="0.35">
      <c r="A24" s="54"/>
      <c r="J24" s="50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</row>
    <row r="25" spans="1:24" x14ac:dyDescent="0.35">
      <c r="A25" s="54"/>
      <c r="J25" s="50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</row>
    <row r="26" spans="1:24" x14ac:dyDescent="0.35">
      <c r="A26" s="54"/>
      <c r="J26" s="50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</row>
    <row r="27" spans="1:24" x14ac:dyDescent="0.35">
      <c r="A27" s="54"/>
      <c r="J27" s="50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</row>
    <row r="28" spans="1:24" x14ac:dyDescent="0.35">
      <c r="A28" s="54"/>
      <c r="J28" s="50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</row>
    <row r="29" spans="1:24" x14ac:dyDescent="0.35">
      <c r="A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9D99BBB-61D7-954D-85FB-0EE8912D0F62}">
          <x14:formula1>
            <xm:f>VALIDATION!$A$2:$A$88</xm:f>
          </x14:formula1>
          <xm:sqref>B6:B7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DA5C-010D-B84A-8ADE-CF43B28181ED}">
  <dimension ref="A1:BA178"/>
  <sheetViews>
    <sheetView tabSelected="1" zoomScale="125" zoomScaleNormal="111" workbookViewId="0">
      <pane xSplit="1" ySplit="1" topLeftCell="E2" activePane="bottomRight" state="frozen"/>
      <selection pane="topRight" activeCell="B1" sqref="B1"/>
      <selection pane="bottomLeft" activeCell="A2" sqref="A2"/>
      <selection pane="bottomRight" activeCell="T1" sqref="T1:T1048576"/>
    </sheetView>
  </sheetViews>
  <sheetFormatPr baseColWidth="10" defaultColWidth="10.83203125" defaultRowHeight="14" x14ac:dyDescent="0.15"/>
  <cols>
    <col min="1" max="1" width="24.83203125" style="26" customWidth="1"/>
    <col min="2" max="3" width="3" style="26" customWidth="1"/>
    <col min="4" max="4" width="4.33203125" style="26" customWidth="1"/>
    <col min="5" max="5" width="7.83203125" style="26" customWidth="1"/>
    <col min="6" max="6" width="8.5" style="26" customWidth="1"/>
    <col min="7" max="7" width="20.6640625" style="26" customWidth="1"/>
    <col min="8" max="8" width="7.1640625" style="26" customWidth="1"/>
    <col min="9" max="9" width="36.5" style="26" customWidth="1"/>
    <col min="10" max="10" width="9.1640625" style="45" customWidth="1"/>
    <col min="11" max="11" width="8.6640625" style="26" customWidth="1"/>
    <col min="12" max="14" width="3" style="26" customWidth="1"/>
    <col min="15" max="15" width="6" style="26" customWidth="1"/>
    <col min="16" max="16" width="5.5" style="26" customWidth="1"/>
    <col min="17" max="17" width="18" style="26" customWidth="1"/>
    <col min="18" max="18" width="21.83203125" style="47" customWidth="1"/>
    <col min="19" max="19" width="25.33203125" style="47" customWidth="1"/>
    <col min="20" max="26" width="5.1640625" style="27" customWidth="1"/>
    <col min="27" max="27" width="7.1640625" style="26" customWidth="1"/>
    <col min="28" max="28" width="9.5" style="26" customWidth="1"/>
    <col min="29" max="31" width="7" style="43" customWidth="1"/>
    <col min="32" max="32" width="15.5" style="26" customWidth="1"/>
    <col min="33" max="33" width="8.6640625" style="26" customWidth="1"/>
    <col min="34" max="34" width="16.1640625" style="41" customWidth="1"/>
    <col min="35" max="35" width="9.6640625" style="41" customWidth="1"/>
    <col min="36" max="36" width="5.33203125" style="41" customWidth="1"/>
    <col min="37" max="37" width="6.1640625" style="26" customWidth="1"/>
    <col min="38" max="38" width="5.33203125" style="26" customWidth="1"/>
    <col min="39" max="39" width="11.1640625" style="26" customWidth="1"/>
    <col min="40" max="40" width="15.6640625" style="26" bestFit="1" customWidth="1"/>
    <col min="41" max="41" width="4.6640625" style="26" customWidth="1"/>
    <col min="42" max="42" width="10.83203125" style="26"/>
    <col min="43" max="43" width="11" style="26" bestFit="1" customWidth="1"/>
    <col min="44" max="47" width="10.83203125" style="26"/>
    <col min="48" max="48" width="11" style="26" bestFit="1" customWidth="1"/>
    <col min="49" max="49" width="10.83203125" style="26"/>
    <col min="50" max="50" width="10.83203125" style="26" customWidth="1"/>
    <col min="51" max="51" width="10.83203125" style="26"/>
    <col min="52" max="52" width="7" style="26" customWidth="1"/>
    <col min="53" max="16384" width="10.83203125" style="26"/>
  </cols>
  <sheetData>
    <row r="1" spans="1:53" ht="16" x14ac:dyDescent="0.2">
      <c r="A1" s="26" t="s">
        <v>560</v>
      </c>
      <c r="B1" s="26" t="s">
        <v>0</v>
      </c>
      <c r="C1" s="26" t="s">
        <v>1</v>
      </c>
      <c r="D1" s="26" t="s">
        <v>30</v>
      </c>
      <c r="E1" s="26" t="s">
        <v>31</v>
      </c>
      <c r="F1" s="26" t="s">
        <v>392</v>
      </c>
      <c r="G1" s="26" t="s">
        <v>2</v>
      </c>
      <c r="H1" s="26" t="s">
        <v>3</v>
      </c>
      <c r="I1" s="26" t="s">
        <v>32</v>
      </c>
      <c r="J1" s="45" t="s">
        <v>5</v>
      </c>
      <c r="K1" s="26" t="s">
        <v>6</v>
      </c>
      <c r="L1" s="26" t="s">
        <v>33</v>
      </c>
      <c r="M1" s="26" t="s">
        <v>7</v>
      </c>
      <c r="N1" s="26" t="s">
        <v>34</v>
      </c>
      <c r="O1" s="26" t="s">
        <v>561</v>
      </c>
      <c r="P1" s="26" t="s">
        <v>388</v>
      </c>
      <c r="Q1" s="26" t="s">
        <v>8</v>
      </c>
      <c r="R1" s="47" t="s">
        <v>9</v>
      </c>
      <c r="S1" s="47" t="s">
        <v>10</v>
      </c>
      <c r="T1" t="s">
        <v>567</v>
      </c>
      <c r="U1" t="s">
        <v>568</v>
      </c>
      <c r="V1" t="s">
        <v>569</v>
      </c>
      <c r="W1" t="s">
        <v>570</v>
      </c>
      <c r="X1" t="s">
        <v>571</v>
      </c>
      <c r="Y1" t="s">
        <v>572</v>
      </c>
      <c r="Z1" t="s">
        <v>573</v>
      </c>
      <c r="AA1" s="26" t="s">
        <v>574</v>
      </c>
      <c r="AB1" s="26" t="s">
        <v>575</v>
      </c>
      <c r="AC1" s="43" t="s">
        <v>576</v>
      </c>
      <c r="AD1" s="43" t="s">
        <v>577</v>
      </c>
      <c r="AE1" s="43" t="s">
        <v>578</v>
      </c>
      <c r="AF1" s="26" t="s">
        <v>11</v>
      </c>
      <c r="AG1" s="26" t="s">
        <v>393</v>
      </c>
      <c r="AH1" s="26" t="s">
        <v>12</v>
      </c>
      <c r="AI1" s="26" t="s">
        <v>13</v>
      </c>
      <c r="AJ1" s="26" t="s">
        <v>14</v>
      </c>
      <c r="AK1" s="26" t="s">
        <v>15</v>
      </c>
      <c r="AL1" s="26" t="s">
        <v>16</v>
      </c>
      <c r="AM1" s="26" t="s">
        <v>17</v>
      </c>
      <c r="AN1" s="26" t="s">
        <v>18</v>
      </c>
      <c r="AO1" s="26" t="s">
        <v>19</v>
      </c>
      <c r="AP1" s="26" t="s">
        <v>20</v>
      </c>
      <c r="AQ1" s="26" t="s">
        <v>21</v>
      </c>
      <c r="AR1" s="26" t="s">
        <v>22</v>
      </c>
      <c r="AS1" s="26" t="s">
        <v>23</v>
      </c>
      <c r="AT1" s="26" t="s">
        <v>24</v>
      </c>
      <c r="AU1" s="26" t="s">
        <v>25</v>
      </c>
      <c r="AV1" s="26" t="s">
        <v>26</v>
      </c>
      <c r="AW1" s="26" t="s">
        <v>27</v>
      </c>
      <c r="AX1" s="26" t="s">
        <v>28</v>
      </c>
      <c r="AY1" s="26" t="s">
        <v>29</v>
      </c>
      <c r="AZ1" s="26" t="s">
        <v>483</v>
      </c>
      <c r="BA1" s="26" t="s">
        <v>564</v>
      </c>
    </row>
    <row r="2" spans="1:53" ht="16" customHeight="1" x14ac:dyDescent="0.2">
      <c r="A2" s="66" t="s">
        <v>49</v>
      </c>
      <c r="B2" s="67"/>
      <c r="C2" s="67"/>
      <c r="D2" s="66" t="s">
        <v>257</v>
      </c>
      <c r="E2" s="17" t="s">
        <v>53</v>
      </c>
      <c r="F2" s="66" t="s">
        <v>253</v>
      </c>
      <c r="G2" s="66" t="s">
        <v>439</v>
      </c>
      <c r="H2" s="66" t="s">
        <v>260</v>
      </c>
      <c r="I2" s="66"/>
      <c r="J2" s="82">
        <v>41378</v>
      </c>
      <c r="K2" s="66" t="s">
        <v>255</v>
      </c>
      <c r="L2" s="66">
        <v>80</v>
      </c>
      <c r="M2" s="66">
        <v>80</v>
      </c>
      <c r="N2" s="66">
        <v>1</v>
      </c>
      <c r="O2" s="66">
        <v>-800</v>
      </c>
      <c r="P2" s="67"/>
      <c r="Q2" s="66"/>
      <c r="R2" s="69"/>
      <c r="S2" s="70"/>
      <c r="T2" s="67"/>
      <c r="U2" s="67"/>
      <c r="V2" s="67"/>
      <c r="W2" s="67"/>
      <c r="X2" s="67"/>
      <c r="Y2" s="67"/>
      <c r="Z2" s="67"/>
      <c r="AA2" s="71"/>
      <c r="AB2" s="71"/>
      <c r="AC2" s="72"/>
      <c r="AD2" s="72"/>
      <c r="AE2" s="72"/>
      <c r="AF2" s="68"/>
      <c r="AG2" s="68"/>
      <c r="AH2" s="68"/>
      <c r="AI2" s="68"/>
      <c r="AJ2" s="68"/>
      <c r="AK2" s="67"/>
      <c r="AL2" s="67"/>
      <c r="AM2" s="73"/>
      <c r="AN2" s="74"/>
      <c r="AO2" s="66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7"/>
    </row>
    <row r="3" spans="1:53" s="65" customFormat="1" ht="14" customHeight="1" x14ac:dyDescent="0.2">
      <c r="A3" s="66" t="s">
        <v>49</v>
      </c>
      <c r="B3" s="67"/>
      <c r="C3" s="67"/>
      <c r="D3" s="66" t="s">
        <v>257</v>
      </c>
      <c r="E3" s="17" t="s">
        <v>53</v>
      </c>
      <c r="F3" s="66" t="s">
        <v>253</v>
      </c>
      <c r="G3" s="66" t="s">
        <v>439</v>
      </c>
      <c r="H3" s="66" t="s">
        <v>260</v>
      </c>
      <c r="I3" s="66"/>
      <c r="J3" s="82">
        <v>41378</v>
      </c>
      <c r="K3" s="66" t="s">
        <v>255</v>
      </c>
      <c r="L3" s="66">
        <v>20</v>
      </c>
      <c r="M3" s="66">
        <v>80</v>
      </c>
      <c r="N3" s="66">
        <v>2</v>
      </c>
      <c r="O3" s="66">
        <v>-200</v>
      </c>
      <c r="P3" s="67"/>
      <c r="Q3" s="66" t="s">
        <v>565</v>
      </c>
      <c r="R3" s="69"/>
      <c r="S3" s="70"/>
      <c r="T3" s="67"/>
      <c r="U3" s="67"/>
      <c r="V3" s="67"/>
      <c r="W3" s="67"/>
      <c r="X3" s="67"/>
      <c r="Y3" s="67"/>
      <c r="Z3" s="67"/>
      <c r="AA3" s="71"/>
      <c r="AB3" s="71"/>
      <c r="AC3" s="72"/>
      <c r="AD3" s="72"/>
      <c r="AE3" s="72"/>
      <c r="AF3" s="68"/>
      <c r="AG3" s="68"/>
      <c r="AH3" s="68"/>
      <c r="AI3" s="68"/>
      <c r="AJ3" s="68"/>
      <c r="AK3" s="67"/>
      <c r="AL3" s="67"/>
      <c r="AM3" s="73"/>
      <c r="AN3" s="74"/>
      <c r="AO3" s="66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7"/>
    </row>
    <row r="4" spans="1:53" s="17" customFormat="1" ht="14" customHeight="1" x14ac:dyDescent="0.2">
      <c r="A4" s="66" t="s">
        <v>49</v>
      </c>
      <c r="B4" s="67"/>
      <c r="C4" s="67"/>
      <c r="D4" s="66" t="s">
        <v>257</v>
      </c>
      <c r="E4" s="17" t="s">
        <v>53</v>
      </c>
      <c r="F4" s="66" t="s">
        <v>253</v>
      </c>
      <c r="G4" s="66" t="s">
        <v>439</v>
      </c>
      <c r="H4" s="66" t="s">
        <v>260</v>
      </c>
      <c r="I4" s="66"/>
      <c r="J4" s="82">
        <v>41378</v>
      </c>
      <c r="K4" s="66" t="s">
        <v>255</v>
      </c>
      <c r="L4" s="66"/>
      <c r="M4" s="66">
        <v>80</v>
      </c>
      <c r="N4" s="66" t="s">
        <v>37</v>
      </c>
      <c r="O4" s="66" t="s">
        <v>37</v>
      </c>
      <c r="P4" s="67"/>
      <c r="Q4" s="66"/>
      <c r="R4" s="69"/>
      <c r="S4" s="70"/>
      <c r="T4" s="67"/>
      <c r="U4" s="67"/>
      <c r="V4" s="67"/>
      <c r="W4" s="67"/>
      <c r="X4" s="67"/>
      <c r="Y4" s="67"/>
      <c r="Z4" s="67"/>
      <c r="AA4" s="71"/>
      <c r="AB4" s="71"/>
      <c r="AC4" s="72"/>
      <c r="AD4" s="72"/>
      <c r="AE4" s="72"/>
      <c r="AF4" s="68"/>
      <c r="AG4" s="68"/>
      <c r="AH4" s="68"/>
      <c r="AI4" s="68"/>
      <c r="AJ4" s="68"/>
      <c r="AK4" s="67"/>
      <c r="AL4" s="67"/>
      <c r="AM4" s="73"/>
      <c r="AN4" s="74"/>
      <c r="AO4" s="66"/>
      <c r="AP4" s="68"/>
      <c r="AQ4" s="68"/>
      <c r="AR4" s="68"/>
      <c r="AS4" s="68"/>
      <c r="AT4" s="68"/>
      <c r="AU4" s="66"/>
      <c r="AV4" s="66"/>
      <c r="AW4" s="66"/>
      <c r="AX4" s="66"/>
      <c r="AY4" s="66"/>
      <c r="AZ4" s="67"/>
    </row>
    <row r="5" spans="1:53" ht="14" customHeight="1" x14ac:dyDescent="0.2">
      <c r="A5" s="81" t="s">
        <v>49</v>
      </c>
      <c r="B5" s="32">
        <v>47.172600000000003</v>
      </c>
      <c r="C5" s="33" t="s">
        <v>42</v>
      </c>
      <c r="D5" s="17" t="s">
        <v>37</v>
      </c>
      <c r="E5" s="17" t="s">
        <v>53</v>
      </c>
      <c r="F5" s="37" t="s">
        <v>54</v>
      </c>
      <c r="G5" t="s">
        <v>43</v>
      </c>
      <c r="H5" s="17" t="s">
        <v>432</v>
      </c>
      <c r="I5" s="26" t="s">
        <v>37</v>
      </c>
      <c r="J5" s="46">
        <v>22224405</v>
      </c>
      <c r="K5" s="26" t="s">
        <v>418</v>
      </c>
      <c r="L5" s="17"/>
      <c r="M5" s="17">
        <v>97.6</v>
      </c>
      <c r="N5" s="26" t="s">
        <v>37</v>
      </c>
      <c r="O5" s="26" t="s">
        <v>37</v>
      </c>
      <c r="P5" s="26" t="s">
        <v>37</v>
      </c>
      <c r="Q5" s="17" t="s">
        <v>445</v>
      </c>
      <c r="R5" s="48">
        <v>45858.625011574077</v>
      </c>
      <c r="S5" s="80"/>
      <c r="T5" s="35"/>
      <c r="U5" s="35"/>
      <c r="V5" s="35"/>
      <c r="W5" s="35"/>
      <c r="X5" s="35"/>
      <c r="Y5" s="35"/>
      <c r="Z5" s="35"/>
      <c r="AA5" s="36">
        <v>44.466666666666669</v>
      </c>
      <c r="AB5" s="36">
        <v>44.466666666666669</v>
      </c>
      <c r="AC5" s="44">
        <v>0</v>
      </c>
      <c r="AD5" s="44">
        <v>0</v>
      </c>
      <c r="AE5" s="44">
        <v>0</v>
      </c>
      <c r="AF5" s="17">
        <v>104.5</v>
      </c>
      <c r="AG5" s="63">
        <f t="shared" ref="AG5:AG14" si="0">AF5*-1</f>
        <v>-104.5</v>
      </c>
      <c r="AH5" s="38">
        <v>45862</v>
      </c>
      <c r="AI5" s="39">
        <v>0.37501157407407404</v>
      </c>
      <c r="AJ5" s="17" t="s">
        <v>45</v>
      </c>
      <c r="AK5" s="17"/>
      <c r="AL5" s="17">
        <f t="shared" ref="AL5:AL14" si="1">AK5*-1</f>
        <v>0</v>
      </c>
      <c r="AM5" s="17"/>
      <c r="AN5" s="17"/>
      <c r="AO5" s="17"/>
      <c r="AP5" s="17"/>
      <c r="AQ5" s="17">
        <f t="shared" ref="AQ5:AQ14" si="2">AP5*-1</f>
        <v>0</v>
      </c>
      <c r="AV5" s="17">
        <f t="shared" ref="AV5:AV14" si="3">AU5*-1</f>
        <v>0</v>
      </c>
      <c r="AZ5">
        <v>6128</v>
      </c>
    </row>
    <row r="6" spans="1:53" s="17" customFormat="1" ht="15" customHeight="1" x14ac:dyDescent="0.2">
      <c r="A6" s="62" t="s">
        <v>49</v>
      </c>
      <c r="B6" s="61">
        <v>46.706000000000003</v>
      </c>
      <c r="C6" s="8">
        <v>-71.064319999999995</v>
      </c>
      <c r="D6" s="8" t="s">
        <v>256</v>
      </c>
      <c r="E6" s="17" t="s">
        <v>53</v>
      </c>
      <c r="F6" s="8" t="s">
        <v>253</v>
      </c>
      <c r="G6" s="8" t="s">
        <v>400</v>
      </c>
      <c r="H6" s="8" t="s">
        <v>251</v>
      </c>
      <c r="I6" s="8" t="s">
        <v>558</v>
      </c>
      <c r="J6" s="56">
        <v>41368</v>
      </c>
      <c r="K6" s="8" t="s">
        <v>255</v>
      </c>
      <c r="L6" s="8">
        <v>80</v>
      </c>
      <c r="M6" s="8">
        <v>80</v>
      </c>
      <c r="N6" s="8">
        <v>1</v>
      </c>
      <c r="O6" s="8">
        <v>-800</v>
      </c>
      <c r="P6" s="8">
        <v>1650</v>
      </c>
      <c r="Q6" s="8" t="s">
        <v>416</v>
      </c>
      <c r="R6" s="57">
        <v>45868.375011574077</v>
      </c>
      <c r="S6" s="57">
        <v>45988.416678240741</v>
      </c>
      <c r="T6" s="8"/>
      <c r="U6" s="8"/>
      <c r="V6" s="8"/>
      <c r="W6" s="8"/>
      <c r="X6" s="8"/>
      <c r="Y6" s="8"/>
      <c r="Z6" s="8"/>
      <c r="AA6" s="58">
        <v>30.5</v>
      </c>
      <c r="AB6" s="58">
        <v>30.5</v>
      </c>
      <c r="AC6" s="42">
        <v>0</v>
      </c>
      <c r="AD6" s="42">
        <v>0</v>
      </c>
      <c r="AE6" s="42">
        <v>0</v>
      </c>
      <c r="AF6" s="8">
        <v>52.3</v>
      </c>
      <c r="AG6" s="8">
        <f t="shared" si="0"/>
        <v>-52.3</v>
      </c>
      <c r="AH6" s="59">
        <v>45868</v>
      </c>
      <c r="AI6" s="60">
        <v>0.35695601851851855</v>
      </c>
      <c r="AJ6" s="8" t="s">
        <v>63</v>
      </c>
      <c r="AK6" s="8">
        <v>75</v>
      </c>
      <c r="AL6" s="8">
        <f t="shared" si="1"/>
        <v>-75</v>
      </c>
      <c r="AM6" s="29">
        <v>45918</v>
      </c>
      <c r="AN6" s="60">
        <v>0.63541666666666663</v>
      </c>
      <c r="AO6" s="8" t="s">
        <v>69</v>
      </c>
      <c r="AP6" s="8">
        <v>76.5</v>
      </c>
      <c r="AQ6" s="8">
        <f t="shared" si="2"/>
        <v>-76.5</v>
      </c>
      <c r="AR6" s="59">
        <v>45946</v>
      </c>
      <c r="AS6" s="60">
        <v>0.46319444444444446</v>
      </c>
      <c r="AT6" s="8" t="s">
        <v>69</v>
      </c>
      <c r="AU6" s="8">
        <v>42.75</v>
      </c>
      <c r="AV6" s="8">
        <f t="shared" si="3"/>
        <v>-42.75</v>
      </c>
      <c r="AW6" s="59">
        <v>45988</v>
      </c>
      <c r="AX6" s="60">
        <v>0.44861111111111113</v>
      </c>
      <c r="AY6" s="8" t="s">
        <v>69</v>
      </c>
      <c r="AZ6" s="8" t="s">
        <v>37</v>
      </c>
    </row>
    <row r="7" spans="1:53" s="17" customFormat="1" ht="14" customHeight="1" x14ac:dyDescent="0.2">
      <c r="A7" s="62" t="s">
        <v>49</v>
      </c>
      <c r="B7" s="61">
        <v>46.706000000000003</v>
      </c>
      <c r="C7" s="8">
        <v>-71.064319999999995</v>
      </c>
      <c r="D7" s="8" t="s">
        <v>256</v>
      </c>
      <c r="E7" s="17" t="s">
        <v>53</v>
      </c>
      <c r="F7" s="8" t="s">
        <v>253</v>
      </c>
      <c r="G7" s="8" t="s">
        <v>400</v>
      </c>
      <c r="H7" s="8" t="s">
        <v>251</v>
      </c>
      <c r="I7" s="8" t="s">
        <v>558</v>
      </c>
      <c r="J7" s="56">
        <v>41368</v>
      </c>
      <c r="K7" s="8" t="s">
        <v>255</v>
      </c>
      <c r="L7" s="8">
        <v>20</v>
      </c>
      <c r="M7" s="8">
        <v>80</v>
      </c>
      <c r="N7" s="8">
        <v>2</v>
      </c>
      <c r="O7" s="8">
        <v>-200</v>
      </c>
      <c r="P7" s="8">
        <v>2877</v>
      </c>
      <c r="Q7" s="8" t="s">
        <v>416</v>
      </c>
      <c r="R7" s="57">
        <v>45868.375011574077</v>
      </c>
      <c r="S7" s="57">
        <v>45988.416678240741</v>
      </c>
      <c r="T7" s="8"/>
      <c r="U7" s="8"/>
      <c r="V7" s="8"/>
      <c r="W7" s="8"/>
      <c r="X7" s="8"/>
      <c r="Y7" s="8"/>
      <c r="Z7" s="8"/>
      <c r="AA7" s="58">
        <v>30.5</v>
      </c>
      <c r="AB7" s="58">
        <v>30.5</v>
      </c>
      <c r="AC7" s="42">
        <v>0</v>
      </c>
      <c r="AD7" s="42">
        <v>0</v>
      </c>
      <c r="AE7" s="42">
        <v>0</v>
      </c>
      <c r="AF7" s="8">
        <v>52.3</v>
      </c>
      <c r="AG7" s="8">
        <f t="shared" si="0"/>
        <v>-52.3</v>
      </c>
      <c r="AH7" s="59">
        <v>45868</v>
      </c>
      <c r="AI7" s="60">
        <v>0.35695601851851855</v>
      </c>
      <c r="AJ7" s="8" t="s">
        <v>63</v>
      </c>
      <c r="AK7" s="8">
        <v>75</v>
      </c>
      <c r="AL7" s="8">
        <f t="shared" si="1"/>
        <v>-75</v>
      </c>
      <c r="AM7" s="29">
        <v>45918</v>
      </c>
      <c r="AN7" s="60">
        <v>0.63541666666666663</v>
      </c>
      <c r="AO7" s="8" t="s">
        <v>69</v>
      </c>
      <c r="AP7" s="8">
        <v>76.5</v>
      </c>
      <c r="AQ7" s="8">
        <f t="shared" si="2"/>
        <v>-76.5</v>
      </c>
      <c r="AR7" s="59">
        <v>45946</v>
      </c>
      <c r="AS7" s="60">
        <v>0.46319444444444446</v>
      </c>
      <c r="AT7" s="8" t="s">
        <v>69</v>
      </c>
      <c r="AU7" s="8">
        <v>42.75</v>
      </c>
      <c r="AV7" s="8">
        <f t="shared" si="3"/>
        <v>-42.75</v>
      </c>
      <c r="AW7" s="59">
        <v>45988</v>
      </c>
      <c r="AX7" s="60">
        <v>0.44861111111111113</v>
      </c>
      <c r="AY7" s="8" t="s">
        <v>69</v>
      </c>
      <c r="AZ7" s="8" t="s">
        <v>37</v>
      </c>
    </row>
    <row r="8" spans="1:53" ht="14" customHeight="1" x14ac:dyDescent="0.2">
      <c r="A8" s="62" t="s">
        <v>49</v>
      </c>
      <c r="B8" s="61">
        <v>46.706000000000003</v>
      </c>
      <c r="C8" s="8">
        <v>-71.064319999999995</v>
      </c>
      <c r="D8" s="8" t="s">
        <v>257</v>
      </c>
      <c r="E8" s="17" t="s">
        <v>53</v>
      </c>
      <c r="F8" s="8" t="s">
        <v>253</v>
      </c>
      <c r="G8" s="8" t="s">
        <v>400</v>
      </c>
      <c r="H8" s="8" t="s">
        <v>251</v>
      </c>
      <c r="I8" s="8" t="s">
        <v>558</v>
      </c>
      <c r="J8" s="56">
        <v>41368</v>
      </c>
      <c r="K8" s="8" t="s">
        <v>255</v>
      </c>
      <c r="L8" s="8"/>
      <c r="M8" s="8">
        <v>80</v>
      </c>
      <c r="N8" s="8" t="s">
        <v>37</v>
      </c>
      <c r="O8" s="8" t="s">
        <v>37</v>
      </c>
      <c r="P8" s="8"/>
      <c r="Q8" s="8" t="s">
        <v>416</v>
      </c>
      <c r="R8" s="57">
        <v>45868.375011574077</v>
      </c>
      <c r="S8" s="57">
        <v>45988.416678240741</v>
      </c>
      <c r="T8" s="8"/>
      <c r="U8" s="8"/>
      <c r="V8" s="8"/>
      <c r="W8" s="8"/>
      <c r="X8" s="8"/>
      <c r="Y8" s="8"/>
      <c r="Z8" s="8"/>
      <c r="AA8" s="58">
        <v>30.5</v>
      </c>
      <c r="AB8" s="58">
        <v>30.5</v>
      </c>
      <c r="AC8" s="42">
        <v>0</v>
      </c>
      <c r="AD8" s="42">
        <v>0</v>
      </c>
      <c r="AE8" s="42">
        <v>0</v>
      </c>
      <c r="AF8" s="8">
        <v>52.3</v>
      </c>
      <c r="AG8" s="8">
        <f t="shared" si="0"/>
        <v>-52.3</v>
      </c>
      <c r="AH8" s="59">
        <v>45868</v>
      </c>
      <c r="AI8" s="60">
        <v>0.35695601851851855</v>
      </c>
      <c r="AJ8" s="8" t="s">
        <v>63</v>
      </c>
      <c r="AK8" s="8">
        <v>75</v>
      </c>
      <c r="AL8" s="8">
        <f t="shared" si="1"/>
        <v>-75</v>
      </c>
      <c r="AM8" s="29">
        <v>45918</v>
      </c>
      <c r="AN8" s="60">
        <v>0.63541666666666663</v>
      </c>
      <c r="AO8" s="8" t="s">
        <v>69</v>
      </c>
      <c r="AP8" s="8">
        <v>76.5</v>
      </c>
      <c r="AQ8" s="8">
        <f t="shared" si="2"/>
        <v>-76.5</v>
      </c>
      <c r="AR8" s="59">
        <v>45946</v>
      </c>
      <c r="AS8" s="60">
        <v>0.46319444444444446</v>
      </c>
      <c r="AT8" s="8" t="s">
        <v>69</v>
      </c>
      <c r="AU8" s="8">
        <v>42.75</v>
      </c>
      <c r="AV8" s="8">
        <f t="shared" si="3"/>
        <v>-42.75</v>
      </c>
      <c r="AW8" s="59">
        <v>45988</v>
      </c>
      <c r="AX8" s="60">
        <v>0.44861111111111113</v>
      </c>
      <c r="AY8" s="8" t="s">
        <v>69</v>
      </c>
      <c r="AZ8" s="8" t="s">
        <v>37</v>
      </c>
    </row>
    <row r="9" spans="1:53" s="17" customFormat="1" ht="14" customHeight="1" x14ac:dyDescent="0.2">
      <c r="A9" s="62" t="s">
        <v>49</v>
      </c>
      <c r="B9" s="61">
        <v>46.706000000000003</v>
      </c>
      <c r="C9" s="8">
        <v>-71.064319999999995</v>
      </c>
      <c r="D9" s="8" t="s">
        <v>256</v>
      </c>
      <c r="E9" s="17" t="s">
        <v>53</v>
      </c>
      <c r="F9" s="8" t="s">
        <v>253</v>
      </c>
      <c r="G9" s="8" t="s">
        <v>400</v>
      </c>
      <c r="H9" s="8" t="s">
        <v>251</v>
      </c>
      <c r="I9" s="8" t="s">
        <v>558</v>
      </c>
      <c r="J9" s="56">
        <v>41368</v>
      </c>
      <c r="K9" s="8" t="s">
        <v>255</v>
      </c>
      <c r="L9" s="8">
        <v>20</v>
      </c>
      <c r="M9" s="8">
        <v>80</v>
      </c>
      <c r="N9" s="8">
        <v>2</v>
      </c>
      <c r="O9" s="8">
        <v>-200</v>
      </c>
      <c r="P9" s="8">
        <v>2877</v>
      </c>
      <c r="Q9" s="8" t="s">
        <v>416</v>
      </c>
      <c r="R9" s="57">
        <v>45780.708333333336</v>
      </c>
      <c r="S9" s="57">
        <v>45868.333344907405</v>
      </c>
      <c r="T9" s="8"/>
      <c r="U9" s="8"/>
      <c r="V9" s="8"/>
      <c r="W9" s="8"/>
      <c r="X9" s="8"/>
      <c r="Y9" s="8"/>
      <c r="Z9" s="8"/>
      <c r="AA9" s="58">
        <v>19</v>
      </c>
      <c r="AB9" s="58">
        <v>19</v>
      </c>
      <c r="AC9" s="42">
        <v>0</v>
      </c>
      <c r="AD9" s="42">
        <v>0</v>
      </c>
      <c r="AE9" s="42">
        <v>0</v>
      </c>
      <c r="AF9" s="8">
        <v>52.3</v>
      </c>
      <c r="AG9" s="8">
        <f t="shared" si="0"/>
        <v>-52.3</v>
      </c>
      <c r="AH9" s="59">
        <v>45868</v>
      </c>
      <c r="AI9" s="60">
        <v>0.35695601851851855</v>
      </c>
      <c r="AJ9" s="8" t="s">
        <v>63</v>
      </c>
      <c r="AK9" s="8"/>
      <c r="AL9" s="8">
        <f t="shared" si="1"/>
        <v>0</v>
      </c>
      <c r="AM9" s="8"/>
      <c r="AN9" s="8"/>
      <c r="AO9" s="8"/>
      <c r="AP9" s="8"/>
      <c r="AQ9" s="8">
        <f t="shared" si="2"/>
        <v>0</v>
      </c>
      <c r="AR9" s="8"/>
      <c r="AS9" s="8"/>
      <c r="AT9" s="8"/>
      <c r="AU9" s="8"/>
      <c r="AV9" s="8">
        <f t="shared" si="3"/>
        <v>0</v>
      </c>
      <c r="AW9" s="8"/>
      <c r="AX9" s="8"/>
      <c r="AY9" s="8"/>
      <c r="AZ9" s="8" t="s">
        <v>37</v>
      </c>
    </row>
    <row r="10" spans="1:53" ht="16" customHeight="1" x14ac:dyDescent="0.2">
      <c r="A10" s="62" t="s">
        <v>49</v>
      </c>
      <c r="B10" s="61">
        <v>46.706000000000003</v>
      </c>
      <c r="C10" s="8">
        <v>-71.064319999999995</v>
      </c>
      <c r="D10" s="8" t="s">
        <v>257</v>
      </c>
      <c r="E10" s="17" t="s">
        <v>53</v>
      </c>
      <c r="F10" s="8" t="s">
        <v>253</v>
      </c>
      <c r="G10" s="8" t="s">
        <v>400</v>
      </c>
      <c r="H10" s="8" t="s">
        <v>251</v>
      </c>
      <c r="I10" s="8" t="s">
        <v>558</v>
      </c>
      <c r="J10" s="56">
        <v>41368</v>
      </c>
      <c r="K10" s="8" t="s">
        <v>255</v>
      </c>
      <c r="L10" s="8"/>
      <c r="M10" s="8">
        <v>80</v>
      </c>
      <c r="N10" s="8" t="s">
        <v>37</v>
      </c>
      <c r="O10" s="8" t="s">
        <v>37</v>
      </c>
      <c r="P10" s="8"/>
      <c r="Q10" s="8" t="s">
        <v>416</v>
      </c>
      <c r="R10" s="57">
        <v>45780.708333333336</v>
      </c>
      <c r="S10" s="57">
        <v>45868.333344907405</v>
      </c>
      <c r="T10" s="8"/>
      <c r="U10" s="8"/>
      <c r="V10" s="8"/>
      <c r="W10" s="8"/>
      <c r="X10" s="8"/>
      <c r="Y10" s="8"/>
      <c r="Z10" s="8"/>
      <c r="AA10" s="58">
        <v>19</v>
      </c>
      <c r="AB10" s="58">
        <v>19</v>
      </c>
      <c r="AC10" s="42">
        <v>0</v>
      </c>
      <c r="AD10" s="42">
        <v>0</v>
      </c>
      <c r="AE10" s="42">
        <v>0</v>
      </c>
      <c r="AF10" s="8">
        <v>52.3</v>
      </c>
      <c r="AG10" s="8">
        <f t="shared" si="0"/>
        <v>-52.3</v>
      </c>
      <c r="AH10" s="59">
        <v>45868</v>
      </c>
      <c r="AI10" s="60">
        <v>0.35695601851851855</v>
      </c>
      <c r="AJ10" s="8" t="s">
        <v>63</v>
      </c>
      <c r="AK10" s="8"/>
      <c r="AL10" s="8">
        <f t="shared" si="1"/>
        <v>0</v>
      </c>
      <c r="AM10" s="8"/>
      <c r="AN10" s="8"/>
      <c r="AO10" s="8"/>
      <c r="AP10" s="8"/>
      <c r="AQ10" s="8">
        <f t="shared" si="2"/>
        <v>0</v>
      </c>
      <c r="AR10" s="8"/>
      <c r="AS10" s="8"/>
      <c r="AT10" s="8"/>
      <c r="AU10" s="8"/>
      <c r="AV10" s="8">
        <f t="shared" si="3"/>
        <v>0</v>
      </c>
      <c r="AW10" s="8"/>
      <c r="AX10" s="8"/>
      <c r="AY10" s="8"/>
      <c r="AZ10" s="8" t="s">
        <v>37</v>
      </c>
    </row>
    <row r="11" spans="1:53" s="17" customFormat="1" ht="14" customHeight="1" x14ac:dyDescent="0.2">
      <c r="A11" s="62" t="s">
        <v>456</v>
      </c>
      <c r="B11" s="61">
        <v>46.706000000000003</v>
      </c>
      <c r="C11" s="8">
        <v>-71.064319999999995</v>
      </c>
      <c r="D11" s="8" t="s">
        <v>256</v>
      </c>
      <c r="E11" s="17" t="s">
        <v>53</v>
      </c>
      <c r="F11" s="8" t="s">
        <v>253</v>
      </c>
      <c r="G11" s="8" t="s">
        <v>400</v>
      </c>
      <c r="H11" s="8" t="s">
        <v>251</v>
      </c>
      <c r="I11" s="8" t="s">
        <v>558</v>
      </c>
      <c r="J11" s="56">
        <v>41368</v>
      </c>
      <c r="K11" s="8" t="s">
        <v>255</v>
      </c>
      <c r="L11" s="8">
        <v>80</v>
      </c>
      <c r="M11" s="8">
        <v>80</v>
      </c>
      <c r="N11" s="8">
        <v>1</v>
      </c>
      <c r="O11" s="8">
        <v>-800</v>
      </c>
      <c r="P11" s="8">
        <v>1650</v>
      </c>
      <c r="Q11" s="8" t="s">
        <v>416</v>
      </c>
      <c r="R11" s="57">
        <v>45780.708333333336</v>
      </c>
      <c r="S11" s="57">
        <v>45868.333344907405</v>
      </c>
      <c r="T11" s="8"/>
      <c r="U11" s="8"/>
      <c r="V11" s="8"/>
      <c r="W11" s="8"/>
      <c r="X11" s="8"/>
      <c r="Y11" s="8"/>
      <c r="Z11" s="8"/>
      <c r="AA11" s="58">
        <v>19</v>
      </c>
      <c r="AB11" s="58">
        <v>19</v>
      </c>
      <c r="AC11" s="42">
        <v>0</v>
      </c>
      <c r="AD11" s="42">
        <v>0</v>
      </c>
      <c r="AE11" s="42">
        <v>0</v>
      </c>
      <c r="AF11" s="8">
        <v>52.3</v>
      </c>
      <c r="AG11" s="8">
        <f t="shared" si="0"/>
        <v>-52.3</v>
      </c>
      <c r="AH11" s="59">
        <v>45868</v>
      </c>
      <c r="AI11" s="60">
        <v>0.35695601851851855</v>
      </c>
      <c r="AJ11" s="8" t="s">
        <v>63</v>
      </c>
      <c r="AK11" s="8"/>
      <c r="AL11" s="8">
        <f t="shared" si="1"/>
        <v>0</v>
      </c>
      <c r="AM11" s="8"/>
      <c r="AN11" s="8"/>
      <c r="AO11" s="8"/>
      <c r="AP11" s="8"/>
      <c r="AQ11" s="8">
        <f t="shared" si="2"/>
        <v>0</v>
      </c>
      <c r="AR11" s="8"/>
      <c r="AS11" s="8"/>
      <c r="AT11" s="8"/>
      <c r="AU11" s="8"/>
      <c r="AV11" s="8">
        <f t="shared" si="3"/>
        <v>0</v>
      </c>
      <c r="AW11" s="8"/>
      <c r="AX11" s="8"/>
      <c r="AY11" s="8"/>
      <c r="AZ11" s="8" t="s">
        <v>37</v>
      </c>
    </row>
    <row r="12" spans="1:53" s="17" customFormat="1" ht="14" customHeight="1" x14ac:dyDescent="0.2">
      <c r="A12" s="62" t="s">
        <v>49</v>
      </c>
      <c r="B12" s="8">
        <v>46.70617</v>
      </c>
      <c r="C12" s="8">
        <v>-71.064160000000001</v>
      </c>
      <c r="D12" s="8" t="s">
        <v>256</v>
      </c>
      <c r="E12" s="17" t="s">
        <v>53</v>
      </c>
      <c r="F12" s="8" t="s">
        <v>253</v>
      </c>
      <c r="G12" s="8" t="s">
        <v>254</v>
      </c>
      <c r="H12" s="8" t="s">
        <v>251</v>
      </c>
      <c r="I12" s="66" t="s">
        <v>559</v>
      </c>
      <c r="J12" s="56">
        <v>41383</v>
      </c>
      <c r="K12" s="8" t="s">
        <v>255</v>
      </c>
      <c r="L12" s="8">
        <v>80</v>
      </c>
      <c r="M12" s="8">
        <v>80</v>
      </c>
      <c r="N12" s="8">
        <v>1</v>
      </c>
      <c r="O12" s="8">
        <v>-800</v>
      </c>
      <c r="P12" s="8">
        <v>1516</v>
      </c>
      <c r="Q12" s="8"/>
      <c r="R12" s="57">
        <v>45780.708333333336</v>
      </c>
      <c r="S12" s="57">
        <v>45988.416678240741</v>
      </c>
      <c r="T12" s="8"/>
      <c r="U12" s="8"/>
      <c r="V12" s="8"/>
      <c r="W12" s="8"/>
      <c r="X12" s="8"/>
      <c r="Y12" s="8"/>
      <c r="Z12" s="8"/>
      <c r="AA12" s="58">
        <v>29.833333333333332</v>
      </c>
      <c r="AB12" s="58">
        <v>29.833333333333332</v>
      </c>
      <c r="AC12" s="42">
        <v>0</v>
      </c>
      <c r="AD12" s="42">
        <v>0</v>
      </c>
      <c r="AE12" s="42">
        <v>0</v>
      </c>
      <c r="AF12" s="8">
        <v>34</v>
      </c>
      <c r="AG12" s="8">
        <f t="shared" si="0"/>
        <v>-34</v>
      </c>
      <c r="AH12" s="59">
        <v>45868</v>
      </c>
      <c r="AI12" s="60">
        <v>0.56876157407407402</v>
      </c>
      <c r="AJ12" s="8" t="s">
        <v>63</v>
      </c>
      <c r="AK12" s="8">
        <v>50.5</v>
      </c>
      <c r="AL12" s="8">
        <f t="shared" si="1"/>
        <v>-50.5</v>
      </c>
      <c r="AM12" s="29">
        <v>45918</v>
      </c>
      <c r="AN12" s="60">
        <v>0.63541666666666663</v>
      </c>
      <c r="AO12" s="8" t="s">
        <v>69</v>
      </c>
      <c r="AP12" s="8">
        <v>42</v>
      </c>
      <c r="AQ12" s="8">
        <f t="shared" si="2"/>
        <v>-42</v>
      </c>
      <c r="AR12" s="59">
        <v>45946</v>
      </c>
      <c r="AS12" s="60">
        <v>0.47569444444444442</v>
      </c>
      <c r="AT12" s="8" t="s">
        <v>69</v>
      </c>
      <c r="AU12" s="8">
        <v>30.5</v>
      </c>
      <c r="AV12" s="8">
        <f t="shared" si="3"/>
        <v>-30.5</v>
      </c>
      <c r="AW12" s="59">
        <v>45988</v>
      </c>
      <c r="AX12" s="60">
        <v>0.42499999999999999</v>
      </c>
      <c r="AY12" s="8" t="s">
        <v>69</v>
      </c>
      <c r="AZ12" s="8" t="s">
        <v>37</v>
      </c>
    </row>
    <row r="13" spans="1:53" s="17" customFormat="1" ht="14" customHeight="1" x14ac:dyDescent="0.2">
      <c r="A13" s="62" t="s">
        <v>49</v>
      </c>
      <c r="B13" s="8">
        <v>46.70617</v>
      </c>
      <c r="C13" s="8">
        <v>-71.064160000000001</v>
      </c>
      <c r="D13" s="8" t="s">
        <v>256</v>
      </c>
      <c r="E13" s="17" t="s">
        <v>53</v>
      </c>
      <c r="F13" s="8" t="s">
        <v>253</v>
      </c>
      <c r="G13" s="8" t="s">
        <v>254</v>
      </c>
      <c r="H13" s="8" t="s">
        <v>251</v>
      </c>
      <c r="I13" s="66" t="s">
        <v>559</v>
      </c>
      <c r="J13" s="56">
        <v>41383</v>
      </c>
      <c r="K13" s="8" t="s">
        <v>255</v>
      </c>
      <c r="L13" s="8">
        <v>20</v>
      </c>
      <c r="M13" s="8">
        <v>80</v>
      </c>
      <c r="N13" s="8">
        <v>2</v>
      </c>
      <c r="O13" s="8">
        <v>-200</v>
      </c>
      <c r="P13" s="8">
        <v>2450</v>
      </c>
      <c r="Q13" s="8"/>
      <c r="R13" s="57">
        <v>45780.708333333336</v>
      </c>
      <c r="S13" s="57">
        <v>45988.416678240741</v>
      </c>
      <c r="T13" s="8"/>
      <c r="U13" s="8"/>
      <c r="V13" s="8"/>
      <c r="W13" s="8"/>
      <c r="X13" s="8"/>
      <c r="Y13" s="8"/>
      <c r="Z13" s="8"/>
      <c r="AA13" s="58">
        <v>29.833333333333332</v>
      </c>
      <c r="AB13" s="58">
        <v>29.833333333333332</v>
      </c>
      <c r="AC13" s="42">
        <v>0</v>
      </c>
      <c r="AD13" s="42">
        <v>0</v>
      </c>
      <c r="AE13" s="42">
        <v>0</v>
      </c>
      <c r="AF13" s="8">
        <v>34</v>
      </c>
      <c r="AG13" s="8">
        <f t="shared" si="0"/>
        <v>-34</v>
      </c>
      <c r="AH13" s="59">
        <v>45868</v>
      </c>
      <c r="AI13" s="60">
        <v>0.56876157407407402</v>
      </c>
      <c r="AJ13" s="8" t="s">
        <v>63</v>
      </c>
      <c r="AK13" s="8">
        <v>50.5</v>
      </c>
      <c r="AL13" s="8">
        <f t="shared" si="1"/>
        <v>-50.5</v>
      </c>
      <c r="AM13" s="29">
        <v>45918</v>
      </c>
      <c r="AN13" s="60">
        <v>0.63541666666666663</v>
      </c>
      <c r="AO13" s="8" t="s">
        <v>69</v>
      </c>
      <c r="AP13" s="8">
        <v>42</v>
      </c>
      <c r="AQ13" s="8">
        <f t="shared" si="2"/>
        <v>-42</v>
      </c>
      <c r="AR13" s="59">
        <v>45946</v>
      </c>
      <c r="AS13" s="60">
        <v>0.47569444444444442</v>
      </c>
      <c r="AT13" s="8" t="s">
        <v>69</v>
      </c>
      <c r="AU13" s="8">
        <v>30.5</v>
      </c>
      <c r="AV13" s="8">
        <f t="shared" si="3"/>
        <v>-30.5</v>
      </c>
      <c r="AW13" s="59">
        <v>45988</v>
      </c>
      <c r="AX13" s="60">
        <v>0.42499999999999999</v>
      </c>
      <c r="AY13" s="8" t="s">
        <v>69</v>
      </c>
      <c r="AZ13" s="8" t="s">
        <v>37</v>
      </c>
    </row>
    <row r="14" spans="1:53" s="17" customFormat="1" ht="14" customHeight="1" x14ac:dyDescent="0.2">
      <c r="A14" s="62" t="s">
        <v>49</v>
      </c>
      <c r="B14" s="8">
        <v>46.70617</v>
      </c>
      <c r="C14" s="8">
        <v>-71.064160000000001</v>
      </c>
      <c r="D14" s="8" t="s">
        <v>257</v>
      </c>
      <c r="E14" s="17" t="s">
        <v>53</v>
      </c>
      <c r="F14" s="8" t="s">
        <v>253</v>
      </c>
      <c r="G14" s="8" t="s">
        <v>254</v>
      </c>
      <c r="H14" s="8" t="s">
        <v>251</v>
      </c>
      <c r="I14" s="66" t="s">
        <v>559</v>
      </c>
      <c r="J14" s="56">
        <v>41383</v>
      </c>
      <c r="K14" s="8" t="s">
        <v>255</v>
      </c>
      <c r="L14" s="8"/>
      <c r="M14" s="8">
        <v>80</v>
      </c>
      <c r="N14" s="8" t="s">
        <v>37</v>
      </c>
      <c r="O14" s="8" t="s">
        <v>37</v>
      </c>
      <c r="P14" s="8"/>
      <c r="Q14" s="8"/>
      <c r="R14" s="57">
        <v>45780.708333333336</v>
      </c>
      <c r="S14" s="57">
        <v>45988.416678240741</v>
      </c>
      <c r="T14" s="8"/>
      <c r="U14" s="8"/>
      <c r="V14" s="8"/>
      <c r="W14" s="8"/>
      <c r="X14" s="8"/>
      <c r="Y14" s="8"/>
      <c r="Z14" s="8"/>
      <c r="AA14" s="58">
        <v>29.833333333333332</v>
      </c>
      <c r="AB14" s="58">
        <v>29.833333333333332</v>
      </c>
      <c r="AC14" s="42">
        <v>0</v>
      </c>
      <c r="AD14" s="42">
        <v>0</v>
      </c>
      <c r="AE14" s="42">
        <v>0</v>
      </c>
      <c r="AF14" s="8">
        <v>34</v>
      </c>
      <c r="AG14" s="8">
        <f t="shared" si="0"/>
        <v>-34</v>
      </c>
      <c r="AH14" s="59">
        <v>45868</v>
      </c>
      <c r="AI14" s="60">
        <v>0.56876157407407402</v>
      </c>
      <c r="AJ14" s="8" t="s">
        <v>63</v>
      </c>
      <c r="AK14" s="8">
        <v>50.5</v>
      </c>
      <c r="AL14" s="8">
        <f t="shared" si="1"/>
        <v>-50.5</v>
      </c>
      <c r="AM14" s="29">
        <v>45918</v>
      </c>
      <c r="AN14" s="60">
        <v>0.63541666666666663</v>
      </c>
      <c r="AO14" s="8" t="s">
        <v>69</v>
      </c>
      <c r="AP14" s="8">
        <v>42</v>
      </c>
      <c r="AQ14" s="8">
        <f t="shared" si="2"/>
        <v>-42</v>
      </c>
      <c r="AR14" s="59">
        <v>45946</v>
      </c>
      <c r="AS14" s="60">
        <v>0.47569444444444442</v>
      </c>
      <c r="AT14" s="8" t="s">
        <v>69</v>
      </c>
      <c r="AU14" s="8">
        <v>30.5</v>
      </c>
      <c r="AV14" s="8">
        <f t="shared" si="3"/>
        <v>-30.5</v>
      </c>
      <c r="AW14" s="59">
        <v>45988</v>
      </c>
      <c r="AX14" s="60">
        <v>0.42499999999999999</v>
      </c>
      <c r="AY14" s="8" t="s">
        <v>69</v>
      </c>
      <c r="AZ14" s="8" t="s">
        <v>37</v>
      </c>
    </row>
    <row r="15" spans="1:53" ht="14" customHeight="1" x14ac:dyDescent="0.15">
      <c r="A15" s="26" t="s">
        <v>557</v>
      </c>
      <c r="B15" s="28">
        <v>47.622729999999997</v>
      </c>
      <c r="C15" s="83" t="s">
        <v>183</v>
      </c>
      <c r="D15" s="26" t="s">
        <v>37</v>
      </c>
      <c r="E15" s="17" t="s">
        <v>252</v>
      </c>
      <c r="F15" s="26" t="s">
        <v>77</v>
      </c>
      <c r="G15" s="26" t="s">
        <v>184</v>
      </c>
      <c r="H15" s="26" t="s">
        <v>81</v>
      </c>
      <c r="I15" s="26" t="s">
        <v>556</v>
      </c>
      <c r="J15" s="45">
        <v>22220784</v>
      </c>
      <c r="K15" s="26" t="s">
        <v>418</v>
      </c>
      <c r="M15" s="26">
        <v>143.1</v>
      </c>
      <c r="N15" s="26" t="s">
        <v>37</v>
      </c>
      <c r="O15" s="26" t="s">
        <v>37</v>
      </c>
      <c r="P15" s="26" t="s">
        <v>37</v>
      </c>
      <c r="R15" s="47" t="s">
        <v>185</v>
      </c>
      <c r="S15" s="84">
        <v>45974.458333333336</v>
      </c>
      <c r="AA15" s="30">
        <v>45.8</v>
      </c>
      <c r="AB15" s="30">
        <v>45.8</v>
      </c>
      <c r="AC15" s="43">
        <v>0</v>
      </c>
      <c r="AD15" s="43">
        <v>0</v>
      </c>
      <c r="AE15" s="43">
        <v>0</v>
      </c>
      <c r="AF15" s="26">
        <v>65</v>
      </c>
      <c r="AG15" s="26">
        <f t="shared" ref="AG15:AG44" si="4">AF15*-1</f>
        <v>-65</v>
      </c>
      <c r="AH15" s="29">
        <v>45806</v>
      </c>
      <c r="AI15" s="31">
        <v>0.33334490740740735</v>
      </c>
      <c r="AJ15" s="26" t="s">
        <v>45</v>
      </c>
      <c r="AK15" s="26">
        <v>111.6</v>
      </c>
      <c r="AL15" s="26">
        <f>AK15*-1</f>
        <v>-111.6</v>
      </c>
      <c r="AM15" s="29">
        <v>45859</v>
      </c>
      <c r="AN15" s="31">
        <v>0.48056712962962966</v>
      </c>
      <c r="AO15" s="26" t="s">
        <v>45</v>
      </c>
      <c r="AP15" s="26">
        <v>102.5</v>
      </c>
      <c r="AQ15" s="26">
        <f>AP15*-1</f>
        <v>-102.5</v>
      </c>
      <c r="AR15" s="29">
        <v>45974</v>
      </c>
      <c r="AS15" s="31">
        <v>0.46388888888888885</v>
      </c>
      <c r="AT15" s="26" t="s">
        <v>69</v>
      </c>
      <c r="AV15" s="26">
        <f>AU15*-1</f>
        <v>0</v>
      </c>
      <c r="AZ15" s="26">
        <v>6915</v>
      </c>
    </row>
    <row r="16" spans="1:53" s="17" customFormat="1" ht="15" customHeight="1" x14ac:dyDescent="0.15">
      <c r="A16" s="17" t="s">
        <v>534</v>
      </c>
      <c r="B16" s="32">
        <v>47.623170000000002</v>
      </c>
      <c r="C16" s="33" t="s">
        <v>192</v>
      </c>
      <c r="D16" s="17" t="s">
        <v>37</v>
      </c>
      <c r="E16" s="17" t="s">
        <v>252</v>
      </c>
      <c r="F16" s="17" t="s">
        <v>77</v>
      </c>
      <c r="G16" s="17" t="s">
        <v>193</v>
      </c>
      <c r="H16" s="17" t="s">
        <v>93</v>
      </c>
      <c r="I16" s="26" t="s">
        <v>37</v>
      </c>
      <c r="J16" s="46">
        <v>22063139</v>
      </c>
      <c r="K16" s="26" t="s">
        <v>418</v>
      </c>
      <c r="M16" s="17">
        <v>236.5</v>
      </c>
      <c r="N16" s="26" t="s">
        <v>37</v>
      </c>
      <c r="O16" s="26" t="s">
        <v>37</v>
      </c>
      <c r="P16" s="26" t="s">
        <v>37</v>
      </c>
      <c r="R16" s="48" t="s">
        <v>165</v>
      </c>
      <c r="S16" s="34">
        <v>45974.458333333336</v>
      </c>
      <c r="T16" s="40"/>
      <c r="U16" s="40"/>
      <c r="V16" s="40"/>
      <c r="W16" s="40"/>
      <c r="X16" s="40"/>
      <c r="Y16" s="40"/>
      <c r="Z16" s="40"/>
      <c r="AA16" s="36">
        <v>55.599999999999994</v>
      </c>
      <c r="AB16" s="30">
        <v>55.599999999999994</v>
      </c>
      <c r="AC16" s="43">
        <v>0</v>
      </c>
      <c r="AD16" s="43">
        <v>0</v>
      </c>
      <c r="AE16" s="43">
        <v>0</v>
      </c>
      <c r="AF16" s="17">
        <v>156.30000000000001</v>
      </c>
      <c r="AG16" s="17">
        <f t="shared" si="4"/>
        <v>-156.30000000000001</v>
      </c>
      <c r="AH16" s="29">
        <v>45859</v>
      </c>
      <c r="AI16" s="31">
        <v>0.62778935185185192</v>
      </c>
      <c r="AJ16" s="17" t="s">
        <v>45</v>
      </c>
      <c r="AK16" s="17">
        <v>149</v>
      </c>
      <c r="AM16" s="38">
        <v>45974</v>
      </c>
      <c r="AN16" s="39">
        <v>0.4777777777777778</v>
      </c>
      <c r="AO16" s="17" t="s">
        <v>69</v>
      </c>
      <c r="AZ16" s="26">
        <v>6915</v>
      </c>
    </row>
    <row r="17" spans="1:52" ht="16" customHeight="1" x14ac:dyDescent="0.2">
      <c r="A17" s="26" t="s">
        <v>542</v>
      </c>
      <c r="B17" s="28">
        <v>47.170299999999997</v>
      </c>
      <c r="C17" s="28">
        <v>-65.192989999999995</v>
      </c>
      <c r="D17" s="17" t="s">
        <v>37</v>
      </c>
      <c r="E17" s="17" t="s">
        <v>252</v>
      </c>
      <c r="F17" s="17" t="s">
        <v>54</v>
      </c>
      <c r="G17" s="17" t="s">
        <v>35</v>
      </c>
      <c r="H17" s="17" t="s">
        <v>428</v>
      </c>
      <c r="I17" s="26" t="s">
        <v>37</v>
      </c>
      <c r="J17" s="45">
        <v>22063141</v>
      </c>
      <c r="K17" s="26" t="s">
        <v>418</v>
      </c>
      <c r="M17" s="26">
        <v>136.19999999999999</v>
      </c>
      <c r="N17" s="26" t="s">
        <v>37</v>
      </c>
      <c r="O17" s="26" t="s">
        <v>37</v>
      </c>
      <c r="P17" s="26" t="s">
        <v>37</v>
      </c>
      <c r="R17" s="47">
        <v>45864.333344907405</v>
      </c>
      <c r="S17" s="34">
        <v>45974.333333333336</v>
      </c>
      <c r="AA17" s="30">
        <v>82.166666666666671</v>
      </c>
      <c r="AB17" s="30">
        <v>82.166666666666671</v>
      </c>
      <c r="AC17" s="43">
        <v>0</v>
      </c>
      <c r="AD17" s="43">
        <v>0</v>
      </c>
      <c r="AE17" s="43">
        <v>0</v>
      </c>
      <c r="AF17" s="26">
        <v>93.5</v>
      </c>
      <c r="AG17" s="8">
        <f t="shared" si="4"/>
        <v>-93.5</v>
      </c>
      <c r="AH17" s="29">
        <v>45974</v>
      </c>
      <c r="AI17" s="31">
        <v>0.35555555555555557</v>
      </c>
      <c r="AJ17" s="26" t="s">
        <v>69</v>
      </c>
      <c r="AL17" s="17">
        <f t="shared" ref="AL17:AL29" si="5">AK17*-1</f>
        <v>0</v>
      </c>
      <c r="AQ17" s="17">
        <f t="shared" ref="AQ17:AQ29" si="6">AP17*-1</f>
        <v>0</v>
      </c>
      <c r="AV17" s="17">
        <f t="shared" ref="AV17:AV29" si="7">AU17*-1</f>
        <v>0</v>
      </c>
      <c r="AZ17">
        <v>6128</v>
      </c>
    </row>
    <row r="18" spans="1:52" s="17" customFormat="1" ht="14" customHeight="1" x14ac:dyDescent="0.15">
      <c r="A18" s="17" t="s">
        <v>545</v>
      </c>
      <c r="B18" s="32">
        <v>47.622639999999997</v>
      </c>
      <c r="C18" s="33" t="s">
        <v>137</v>
      </c>
      <c r="D18" s="17" t="s">
        <v>37</v>
      </c>
      <c r="E18" s="17" t="s">
        <v>252</v>
      </c>
      <c r="F18" s="17" t="s">
        <v>77</v>
      </c>
      <c r="G18" s="17" t="s">
        <v>138</v>
      </c>
      <c r="H18" s="17" t="s">
        <v>139</v>
      </c>
      <c r="I18" s="26" t="s">
        <v>37</v>
      </c>
      <c r="J18" s="46">
        <v>22063142</v>
      </c>
      <c r="K18" s="26" t="s">
        <v>418</v>
      </c>
      <c r="M18" s="17">
        <v>140.6</v>
      </c>
      <c r="N18" s="26" t="s">
        <v>37</v>
      </c>
      <c r="O18" s="26" t="s">
        <v>37</v>
      </c>
      <c r="P18" s="26" t="s">
        <v>37</v>
      </c>
      <c r="R18" s="48" t="s">
        <v>140</v>
      </c>
      <c r="S18" s="34">
        <v>45974.458333333336</v>
      </c>
      <c r="T18" s="40"/>
      <c r="U18" s="40"/>
      <c r="V18" s="40"/>
      <c r="W18" s="40"/>
      <c r="X18" s="40"/>
      <c r="Y18" s="40"/>
      <c r="Z18" s="40"/>
      <c r="AA18" s="30">
        <v>15.924999999999999</v>
      </c>
      <c r="AB18" s="30">
        <v>15.924999999999999</v>
      </c>
      <c r="AC18" s="43">
        <v>0</v>
      </c>
      <c r="AD18" s="43">
        <v>0</v>
      </c>
      <c r="AE18" s="43">
        <v>0</v>
      </c>
      <c r="AF18" s="17">
        <v>21.5</v>
      </c>
      <c r="AG18" s="17">
        <f t="shared" si="4"/>
        <v>-21.5</v>
      </c>
      <c r="AH18" s="38">
        <v>45803</v>
      </c>
      <c r="AI18" s="39">
        <v>0.37501157407407404</v>
      </c>
      <c r="AJ18" s="17" t="s">
        <v>45</v>
      </c>
      <c r="AK18" s="17">
        <v>65.5</v>
      </c>
      <c r="AL18" s="17">
        <f t="shared" si="5"/>
        <v>-65.5</v>
      </c>
      <c r="AM18" s="38">
        <v>45859</v>
      </c>
      <c r="AN18" s="39">
        <v>0.48820601851851847</v>
      </c>
      <c r="AO18" s="17" t="s">
        <v>45</v>
      </c>
      <c r="AP18" s="17">
        <v>66</v>
      </c>
      <c r="AQ18" s="17">
        <f t="shared" si="6"/>
        <v>-66</v>
      </c>
      <c r="AR18" s="38">
        <v>45974</v>
      </c>
      <c r="AS18" s="39">
        <v>0.47291666666666665</v>
      </c>
      <c r="AT18" s="17" t="s">
        <v>69</v>
      </c>
      <c r="AV18" s="17">
        <f t="shared" si="7"/>
        <v>0</v>
      </c>
      <c r="AZ18" s="26">
        <v>6915</v>
      </c>
    </row>
    <row r="19" spans="1:52" ht="14" customHeight="1" x14ac:dyDescent="0.15">
      <c r="A19" s="65" t="s">
        <v>529</v>
      </c>
      <c r="B19" s="85">
        <v>47.626959999999997</v>
      </c>
      <c r="C19" s="86" t="s">
        <v>229</v>
      </c>
      <c r="D19" s="65" t="s">
        <v>37</v>
      </c>
      <c r="E19" s="17" t="s">
        <v>252</v>
      </c>
      <c r="F19" s="87" t="s">
        <v>77</v>
      </c>
      <c r="G19" s="37" t="s">
        <v>230</v>
      </c>
      <c r="H19" s="85" t="s">
        <v>226</v>
      </c>
      <c r="I19" s="85" t="s">
        <v>37</v>
      </c>
      <c r="J19" s="88">
        <v>22063155</v>
      </c>
      <c r="K19" s="85" t="s">
        <v>418</v>
      </c>
      <c r="L19" s="85"/>
      <c r="M19" s="85">
        <v>180.4</v>
      </c>
      <c r="N19" s="85" t="s">
        <v>37</v>
      </c>
      <c r="O19" s="85" t="s">
        <v>37</v>
      </c>
      <c r="P19" s="85" t="s">
        <v>37</v>
      </c>
      <c r="Q19" s="85" t="s">
        <v>231</v>
      </c>
      <c r="R19" s="89" t="s">
        <v>228</v>
      </c>
      <c r="S19" s="48">
        <v>45974.541678240741</v>
      </c>
      <c r="T19" s="90"/>
      <c r="U19" s="90"/>
      <c r="V19" s="90"/>
      <c r="W19" s="90"/>
      <c r="X19" s="90"/>
      <c r="Y19" s="90"/>
      <c r="Z19" s="90"/>
      <c r="AA19" s="91">
        <v>36.799999999999997</v>
      </c>
      <c r="AB19" s="92">
        <v>36.799999999999997</v>
      </c>
      <c r="AC19" s="93">
        <v>0</v>
      </c>
      <c r="AD19" s="93">
        <v>0</v>
      </c>
      <c r="AE19" s="93">
        <v>0</v>
      </c>
      <c r="AF19" s="65">
        <v>115.1</v>
      </c>
      <c r="AG19" s="65">
        <f t="shared" si="4"/>
        <v>-115.1</v>
      </c>
      <c r="AH19" s="94">
        <v>45859</v>
      </c>
      <c r="AI19" s="95">
        <v>0.60278935185185178</v>
      </c>
      <c r="AJ19" s="65" t="s">
        <v>212</v>
      </c>
      <c r="AK19" s="85">
        <v>123.5</v>
      </c>
      <c r="AL19" s="65">
        <f t="shared" si="5"/>
        <v>-123.5</v>
      </c>
      <c r="AM19" s="38">
        <v>45974</v>
      </c>
      <c r="AN19" s="39">
        <v>0.54652777777777783</v>
      </c>
      <c r="AO19" s="17" t="s">
        <v>69</v>
      </c>
      <c r="AP19" s="85"/>
      <c r="AQ19" s="65">
        <f t="shared" si="6"/>
        <v>0</v>
      </c>
      <c r="AR19" s="85"/>
      <c r="AS19" s="85"/>
      <c r="AT19" s="85"/>
      <c r="AU19" s="85"/>
      <c r="AV19" s="65">
        <f t="shared" si="7"/>
        <v>0</v>
      </c>
      <c r="AW19" s="85"/>
      <c r="AX19" s="85"/>
      <c r="AY19" s="85"/>
      <c r="AZ19" s="85">
        <v>6915</v>
      </c>
    </row>
    <row r="20" spans="1:52" s="17" customFormat="1" ht="14" customHeight="1" x14ac:dyDescent="0.15">
      <c r="A20" s="17" t="s">
        <v>549</v>
      </c>
      <c r="B20" s="32">
        <v>47.622860000000003</v>
      </c>
      <c r="C20" s="33" t="s">
        <v>190</v>
      </c>
      <c r="D20" s="17" t="s">
        <v>37</v>
      </c>
      <c r="E20" s="17" t="s">
        <v>252</v>
      </c>
      <c r="F20" s="17" t="s">
        <v>77</v>
      </c>
      <c r="G20" s="17" t="s">
        <v>191</v>
      </c>
      <c r="H20" s="17" t="s">
        <v>136</v>
      </c>
      <c r="I20" s="26" t="s">
        <v>37</v>
      </c>
      <c r="J20" s="46">
        <v>22063159</v>
      </c>
      <c r="K20" s="26" t="s">
        <v>418</v>
      </c>
      <c r="M20" s="17">
        <v>141.69999999999999</v>
      </c>
      <c r="N20" s="26" t="s">
        <v>37</v>
      </c>
      <c r="O20" s="26" t="s">
        <v>37</v>
      </c>
      <c r="P20" s="26" t="s">
        <v>37</v>
      </c>
      <c r="R20" s="48" t="s">
        <v>185</v>
      </c>
      <c r="S20" s="34">
        <v>45974.416666666664</v>
      </c>
      <c r="T20" s="40"/>
      <c r="U20" s="40"/>
      <c r="V20" s="40"/>
      <c r="W20" s="40"/>
      <c r="X20" s="40"/>
      <c r="Y20" s="40"/>
      <c r="Z20" s="40"/>
      <c r="AA20" s="36">
        <v>36.366666666666667</v>
      </c>
      <c r="AB20" s="30">
        <v>36.366666666666667</v>
      </c>
      <c r="AC20" s="43">
        <v>0</v>
      </c>
      <c r="AD20" s="43">
        <v>0</v>
      </c>
      <c r="AE20" s="43">
        <v>0</v>
      </c>
      <c r="AF20" s="17">
        <v>79.900000000000006</v>
      </c>
      <c r="AG20" s="17">
        <f t="shared" si="4"/>
        <v>-79.900000000000006</v>
      </c>
      <c r="AH20" s="29">
        <v>45806</v>
      </c>
      <c r="AI20" s="31">
        <v>0.33334490740740735</v>
      </c>
      <c r="AJ20" s="26" t="s">
        <v>45</v>
      </c>
      <c r="AK20" s="17">
        <v>95.2</v>
      </c>
      <c r="AL20" s="17">
        <f t="shared" si="5"/>
        <v>-95.2</v>
      </c>
      <c r="AM20" s="38">
        <v>45859</v>
      </c>
      <c r="AN20" s="39">
        <v>0.45903935185185185</v>
      </c>
      <c r="AO20" s="17" t="s">
        <v>45</v>
      </c>
      <c r="AP20" s="17">
        <v>76.5</v>
      </c>
      <c r="AQ20" s="17">
        <f t="shared" si="6"/>
        <v>-76.5</v>
      </c>
      <c r="AR20" s="38">
        <v>45974</v>
      </c>
      <c r="AS20" s="39">
        <v>0.44444444444444442</v>
      </c>
      <c r="AT20" s="17" t="s">
        <v>69</v>
      </c>
      <c r="AV20" s="17">
        <f t="shared" si="7"/>
        <v>0</v>
      </c>
      <c r="AZ20" s="26">
        <v>6915</v>
      </c>
    </row>
    <row r="21" spans="1:52" s="17" customFormat="1" ht="14" customHeight="1" x14ac:dyDescent="0.15">
      <c r="A21" s="17" t="s">
        <v>541</v>
      </c>
      <c r="B21" s="32">
        <v>47.62294</v>
      </c>
      <c r="C21" s="33" t="s">
        <v>198</v>
      </c>
      <c r="D21" s="17" t="s">
        <v>37</v>
      </c>
      <c r="E21" s="17" t="s">
        <v>252</v>
      </c>
      <c r="F21" s="17" t="s">
        <v>77</v>
      </c>
      <c r="G21" s="17" t="s">
        <v>199</v>
      </c>
      <c r="H21" s="17" t="s">
        <v>170</v>
      </c>
      <c r="I21" s="26" t="s">
        <v>37</v>
      </c>
      <c r="J21" s="46">
        <v>22195240</v>
      </c>
      <c r="K21" s="26" t="s">
        <v>418</v>
      </c>
      <c r="M21" s="17">
        <v>138</v>
      </c>
      <c r="N21" s="26" t="s">
        <v>37</v>
      </c>
      <c r="O21" s="26" t="s">
        <v>37</v>
      </c>
      <c r="P21" s="26" t="s">
        <v>37</v>
      </c>
      <c r="R21" s="48" t="s">
        <v>200</v>
      </c>
      <c r="S21" s="34">
        <v>45974.458333333336</v>
      </c>
      <c r="T21" s="35"/>
      <c r="U21" s="35"/>
      <c r="V21" s="35"/>
      <c r="W21" s="35"/>
      <c r="X21" s="35"/>
      <c r="Y21" s="35"/>
      <c r="Z21" s="35"/>
      <c r="AA21" s="36">
        <v>20.549999999999997</v>
      </c>
      <c r="AB21" s="30">
        <v>20.549999999999997</v>
      </c>
      <c r="AC21" s="43">
        <v>0</v>
      </c>
      <c r="AD21" s="43">
        <v>0</v>
      </c>
      <c r="AE21" s="43">
        <v>0</v>
      </c>
      <c r="AF21" s="17">
        <v>19</v>
      </c>
      <c r="AG21" s="17">
        <f t="shared" si="4"/>
        <v>-19</v>
      </c>
      <c r="AH21" s="38">
        <v>45803</v>
      </c>
      <c r="AI21" s="39">
        <v>0.33334490740740735</v>
      </c>
      <c r="AJ21" s="17" t="s">
        <v>45</v>
      </c>
      <c r="AK21" s="17">
        <v>70.8</v>
      </c>
      <c r="AL21" s="17">
        <f t="shared" si="5"/>
        <v>-70.8</v>
      </c>
      <c r="AM21" s="38">
        <v>45859</v>
      </c>
      <c r="AN21" s="39">
        <v>0.46667824074074077</v>
      </c>
      <c r="AO21" s="17" t="s">
        <v>45</v>
      </c>
      <c r="AP21" s="17">
        <v>49.5</v>
      </c>
      <c r="AQ21" s="17">
        <f t="shared" si="6"/>
        <v>-49.5</v>
      </c>
      <c r="AR21" s="38">
        <v>45974</v>
      </c>
      <c r="AS21" s="39">
        <v>0.46111111111111108</v>
      </c>
      <c r="AT21" s="17" t="s">
        <v>69</v>
      </c>
      <c r="AV21" s="17">
        <f t="shared" si="7"/>
        <v>0</v>
      </c>
      <c r="AZ21" s="26">
        <v>6915</v>
      </c>
    </row>
    <row r="22" spans="1:52" ht="14" customHeight="1" x14ac:dyDescent="0.15">
      <c r="A22" s="17" t="s">
        <v>579</v>
      </c>
      <c r="B22" s="32">
        <f>47.62258</f>
        <v>47.622579999999999</v>
      </c>
      <c r="C22" s="33" t="s">
        <v>240</v>
      </c>
      <c r="D22" s="17" t="s">
        <v>37</v>
      </c>
      <c r="E22" s="17" t="s">
        <v>252</v>
      </c>
      <c r="F22" s="17" t="s">
        <v>77</v>
      </c>
      <c r="G22" s="17" t="s">
        <v>241</v>
      </c>
      <c r="H22" s="17" t="s">
        <v>162</v>
      </c>
      <c r="I22" s="26" t="s">
        <v>37</v>
      </c>
      <c r="J22" s="46">
        <v>22224406</v>
      </c>
      <c r="K22" s="26" t="s">
        <v>418</v>
      </c>
      <c r="L22" s="17"/>
      <c r="M22" s="17">
        <v>235.2</v>
      </c>
      <c r="N22" s="26" t="s">
        <v>37</v>
      </c>
      <c r="O22" s="26" t="s">
        <v>37</v>
      </c>
      <c r="P22" s="26" t="s">
        <v>37</v>
      </c>
      <c r="Q22" s="81" t="s">
        <v>563</v>
      </c>
      <c r="R22" s="48" t="s">
        <v>242</v>
      </c>
      <c r="S22" s="34">
        <v>45974.458333333336</v>
      </c>
      <c r="T22" s="40"/>
      <c r="U22" s="40"/>
      <c r="V22" s="40"/>
      <c r="W22" s="40"/>
      <c r="X22" s="40"/>
      <c r="Y22" s="40"/>
      <c r="Z22" s="40"/>
      <c r="AA22" s="36">
        <v>66.349999999999994</v>
      </c>
      <c r="AB22" s="36">
        <v>66.349999999999994</v>
      </c>
      <c r="AC22" s="44">
        <v>0</v>
      </c>
      <c r="AD22" s="44">
        <v>0</v>
      </c>
      <c r="AE22" s="44">
        <v>0</v>
      </c>
      <c r="AF22" s="17">
        <v>121</v>
      </c>
      <c r="AG22" s="17">
        <f>AF22*-1</f>
        <v>-121</v>
      </c>
      <c r="AH22" s="38">
        <v>45859</v>
      </c>
      <c r="AI22" s="39">
        <v>0.52015046296296297</v>
      </c>
      <c r="AJ22" s="17" t="s">
        <v>45</v>
      </c>
      <c r="AK22" s="17">
        <v>122.5</v>
      </c>
      <c r="AL22" s="17">
        <f>AK22*-1</f>
        <v>-122.5</v>
      </c>
      <c r="AM22" s="38">
        <v>45974</v>
      </c>
      <c r="AN22" s="39">
        <v>0.4861111111111111</v>
      </c>
      <c r="AO22" s="17" t="s">
        <v>69</v>
      </c>
      <c r="AP22" s="17"/>
      <c r="AQ22" s="17">
        <f>AP22*-1</f>
        <v>0</v>
      </c>
      <c r="AR22" s="17"/>
      <c r="AS22" s="17"/>
      <c r="AT22" s="17"/>
      <c r="AU22" s="17"/>
      <c r="AV22" s="17">
        <f>AU22*-1</f>
        <v>0</v>
      </c>
      <c r="AW22" s="17"/>
      <c r="AX22" s="17"/>
      <c r="AY22" s="17"/>
      <c r="AZ22" s="26">
        <v>6915</v>
      </c>
    </row>
    <row r="23" spans="1:52" ht="14" customHeight="1" x14ac:dyDescent="0.15">
      <c r="A23" s="17" t="s">
        <v>540</v>
      </c>
      <c r="B23" s="32">
        <v>47.62265</v>
      </c>
      <c r="C23" s="33" t="s">
        <v>186</v>
      </c>
      <c r="D23" s="17" t="s">
        <v>37</v>
      </c>
      <c r="E23" s="17" t="s">
        <v>252</v>
      </c>
      <c r="F23" s="17" t="s">
        <v>77</v>
      </c>
      <c r="G23" s="17" t="s">
        <v>187</v>
      </c>
      <c r="H23" s="17" t="s">
        <v>81</v>
      </c>
      <c r="I23" s="26" t="s">
        <v>37</v>
      </c>
      <c r="J23" s="46">
        <v>22195242</v>
      </c>
      <c r="K23" s="26" t="s">
        <v>418</v>
      </c>
      <c r="L23" s="17"/>
      <c r="M23" s="17">
        <v>231.2</v>
      </c>
      <c r="N23" s="26" t="s">
        <v>37</v>
      </c>
      <c r="O23" s="26" t="s">
        <v>37</v>
      </c>
      <c r="P23" s="26" t="s">
        <v>37</v>
      </c>
      <c r="Q23" s="17"/>
      <c r="R23" s="48" t="s">
        <v>185</v>
      </c>
      <c r="S23" s="34">
        <v>45974.458333333336</v>
      </c>
      <c r="T23" s="40"/>
      <c r="U23" s="40"/>
      <c r="V23" s="40"/>
      <c r="W23" s="40"/>
      <c r="X23" s="40"/>
      <c r="Y23" s="40"/>
      <c r="Z23" s="40"/>
      <c r="AA23" s="36">
        <v>62.150000000000006</v>
      </c>
      <c r="AB23" s="30">
        <v>62.150000000000006</v>
      </c>
      <c r="AC23" s="43">
        <v>0</v>
      </c>
      <c r="AD23" s="43">
        <v>0</v>
      </c>
      <c r="AE23" s="43">
        <v>0</v>
      </c>
      <c r="AF23" s="17">
        <v>139.5</v>
      </c>
      <c r="AG23" s="17">
        <f t="shared" si="4"/>
        <v>-139.5</v>
      </c>
      <c r="AH23" s="29">
        <v>45806</v>
      </c>
      <c r="AI23" s="31">
        <v>0.33334490740740735</v>
      </c>
      <c r="AJ23" s="26" t="s">
        <v>45</v>
      </c>
      <c r="AK23" s="17">
        <v>61.5</v>
      </c>
      <c r="AL23" s="17">
        <f t="shared" si="5"/>
        <v>-61.5</v>
      </c>
      <c r="AM23" s="38">
        <v>45859</v>
      </c>
      <c r="AN23" s="39">
        <v>0.48195601851851855</v>
      </c>
      <c r="AO23" s="17" t="s">
        <v>45</v>
      </c>
      <c r="AP23" s="17">
        <v>164.75</v>
      </c>
      <c r="AQ23" s="17">
        <f t="shared" si="6"/>
        <v>-164.75</v>
      </c>
      <c r="AR23" s="38">
        <v>45974</v>
      </c>
      <c r="AS23" s="39">
        <v>0.46527777777777773</v>
      </c>
      <c r="AT23" s="17" t="s">
        <v>69</v>
      </c>
      <c r="AU23" s="17"/>
      <c r="AV23" s="17">
        <f t="shared" si="7"/>
        <v>0</v>
      </c>
      <c r="AW23" s="17"/>
      <c r="AX23" s="17"/>
      <c r="AY23" s="17"/>
      <c r="AZ23" s="26">
        <v>6915</v>
      </c>
    </row>
    <row r="24" spans="1:52" ht="16" customHeight="1" x14ac:dyDescent="0.15">
      <c r="A24" s="17" t="s">
        <v>554</v>
      </c>
      <c r="B24" s="32">
        <v>47.623449999999998</v>
      </c>
      <c r="C24" s="33" t="s">
        <v>149</v>
      </c>
      <c r="D24" s="17" t="s">
        <v>37</v>
      </c>
      <c r="E24" s="17" t="s">
        <v>252</v>
      </c>
      <c r="F24" s="17" t="s">
        <v>77</v>
      </c>
      <c r="G24" s="17" t="s">
        <v>150</v>
      </c>
      <c r="H24" s="17" t="s">
        <v>151</v>
      </c>
      <c r="I24" s="26" t="s">
        <v>37</v>
      </c>
      <c r="J24" s="46">
        <v>22195243</v>
      </c>
      <c r="K24" s="26" t="s">
        <v>418</v>
      </c>
      <c r="L24" s="17"/>
      <c r="M24" s="17">
        <v>134.1</v>
      </c>
      <c r="N24" s="26" t="s">
        <v>37</v>
      </c>
      <c r="O24" s="26" t="s">
        <v>37</v>
      </c>
      <c r="P24" s="26" t="s">
        <v>37</v>
      </c>
      <c r="Q24" s="17"/>
      <c r="R24" s="48" t="s">
        <v>152</v>
      </c>
      <c r="S24" s="34">
        <v>45974.5</v>
      </c>
      <c r="T24" s="35"/>
      <c r="U24" s="35"/>
      <c r="V24" s="35"/>
      <c r="W24" s="35"/>
      <c r="X24" s="35"/>
      <c r="Y24" s="35"/>
      <c r="Z24" s="35"/>
      <c r="AA24" s="30">
        <v>26.783333333333331</v>
      </c>
      <c r="AB24" s="30">
        <v>26.783333333333331</v>
      </c>
      <c r="AC24" s="43">
        <v>0</v>
      </c>
      <c r="AD24" s="43">
        <v>0</v>
      </c>
      <c r="AE24" s="43">
        <v>0</v>
      </c>
      <c r="AF24" s="17">
        <v>76</v>
      </c>
      <c r="AG24" s="17">
        <f t="shared" si="4"/>
        <v>-76</v>
      </c>
      <c r="AH24" s="29">
        <v>45859</v>
      </c>
      <c r="AI24" s="31">
        <v>0.64028935185185187</v>
      </c>
      <c r="AJ24" s="17" t="s">
        <v>45</v>
      </c>
      <c r="AK24" s="17">
        <v>44</v>
      </c>
      <c r="AL24" s="17">
        <f t="shared" si="5"/>
        <v>-44</v>
      </c>
      <c r="AM24" s="38">
        <v>45974</v>
      </c>
      <c r="AN24" s="39">
        <v>0.53333333333333333</v>
      </c>
      <c r="AO24" s="17" t="s">
        <v>69</v>
      </c>
      <c r="AP24" s="17"/>
      <c r="AQ24" s="17">
        <f t="shared" si="6"/>
        <v>0</v>
      </c>
      <c r="AR24" s="17"/>
      <c r="AS24" s="17"/>
      <c r="AT24" s="17"/>
      <c r="AU24" s="17"/>
      <c r="AV24" s="17">
        <f t="shared" si="7"/>
        <v>0</v>
      </c>
      <c r="AW24" s="17"/>
      <c r="AX24" s="17"/>
      <c r="AY24" s="17"/>
      <c r="AZ24" s="26">
        <v>6915</v>
      </c>
    </row>
    <row r="25" spans="1:52" ht="16" customHeight="1" x14ac:dyDescent="0.15">
      <c r="A25" s="17" t="s">
        <v>535</v>
      </c>
      <c r="B25" s="32">
        <v>47.626820000000002</v>
      </c>
      <c r="C25" s="33" t="s">
        <v>222</v>
      </c>
      <c r="D25" s="17" t="s">
        <v>37</v>
      </c>
      <c r="E25" s="17" t="s">
        <v>252</v>
      </c>
      <c r="F25" s="87" t="s">
        <v>77</v>
      </c>
      <c r="G25" s="37" t="s">
        <v>223</v>
      </c>
      <c r="H25" s="26" t="s">
        <v>217</v>
      </c>
      <c r="I25" s="26" t="s">
        <v>37</v>
      </c>
      <c r="J25" s="45">
        <v>22195245</v>
      </c>
      <c r="K25" s="26" t="s">
        <v>418</v>
      </c>
      <c r="M25" s="26">
        <v>141</v>
      </c>
      <c r="N25" s="26" t="s">
        <v>37</v>
      </c>
      <c r="O25" s="26" t="s">
        <v>37</v>
      </c>
      <c r="P25" s="26" t="s">
        <v>37</v>
      </c>
      <c r="Q25" s="26" t="s">
        <v>44</v>
      </c>
      <c r="R25" s="48" t="s">
        <v>219</v>
      </c>
      <c r="S25" s="48">
        <v>45974.541678240741</v>
      </c>
      <c r="AA25" s="30">
        <v>59.166666666666664</v>
      </c>
      <c r="AB25" s="96">
        <v>59.166666666666664</v>
      </c>
      <c r="AC25" s="44">
        <v>0</v>
      </c>
      <c r="AD25" s="44">
        <v>0</v>
      </c>
      <c r="AE25" s="44">
        <v>0</v>
      </c>
      <c r="AF25" s="17">
        <v>148.1</v>
      </c>
      <c r="AG25" s="17">
        <f t="shared" si="4"/>
        <v>-148.1</v>
      </c>
      <c r="AH25" s="29">
        <v>45859</v>
      </c>
      <c r="AI25" s="31">
        <v>0.59376157407407404</v>
      </c>
      <c r="AJ25" s="17" t="s">
        <v>212</v>
      </c>
      <c r="AK25" s="26">
        <v>147.25</v>
      </c>
      <c r="AL25" s="17">
        <f t="shared" si="5"/>
        <v>-147.25</v>
      </c>
      <c r="AM25" s="38">
        <v>45974</v>
      </c>
      <c r="AN25" s="39">
        <v>0.55486111111111114</v>
      </c>
      <c r="AO25" s="17" t="s">
        <v>69</v>
      </c>
      <c r="AQ25" s="17">
        <f t="shared" si="6"/>
        <v>0</v>
      </c>
      <c r="AR25" s="38"/>
      <c r="AS25" s="39"/>
      <c r="AT25" s="17"/>
      <c r="AV25" s="17">
        <f t="shared" si="7"/>
        <v>0</v>
      </c>
      <c r="AZ25" s="26">
        <v>6915</v>
      </c>
    </row>
    <row r="26" spans="1:52" ht="14" customHeight="1" x14ac:dyDescent="0.15">
      <c r="A26" s="17" t="s">
        <v>553</v>
      </c>
      <c r="B26" s="32">
        <v>47.628909999999998</v>
      </c>
      <c r="C26" s="33" t="s">
        <v>121</v>
      </c>
      <c r="D26" s="17" t="s">
        <v>37</v>
      </c>
      <c r="E26" s="17" t="s">
        <v>252</v>
      </c>
      <c r="F26" s="17" t="s">
        <v>77</v>
      </c>
      <c r="G26" s="17" t="s">
        <v>98</v>
      </c>
      <c r="H26" s="26" t="s">
        <v>99</v>
      </c>
      <c r="I26" s="26" t="s">
        <v>37</v>
      </c>
      <c r="J26" s="45">
        <v>22195246</v>
      </c>
      <c r="K26" s="26" t="s">
        <v>418</v>
      </c>
      <c r="M26" s="84" t="s">
        <v>122</v>
      </c>
      <c r="N26" s="26" t="s">
        <v>37</v>
      </c>
      <c r="O26" s="26" t="s">
        <v>37</v>
      </c>
      <c r="P26" s="26" t="s">
        <v>37</v>
      </c>
      <c r="R26" s="47">
        <v>45864.666678240741</v>
      </c>
      <c r="S26" s="48">
        <v>45974.541678240741</v>
      </c>
      <c r="AA26" s="30">
        <v>24.966666666666669</v>
      </c>
      <c r="AB26" s="30">
        <v>24.966666666666669</v>
      </c>
      <c r="AC26" s="43">
        <v>0</v>
      </c>
      <c r="AD26" s="43">
        <v>0</v>
      </c>
      <c r="AE26" s="43">
        <v>0</v>
      </c>
      <c r="AF26" s="17">
        <v>119.25</v>
      </c>
      <c r="AG26" s="17">
        <f t="shared" si="4"/>
        <v>-119.25</v>
      </c>
      <c r="AH26" s="38">
        <v>45974</v>
      </c>
      <c r="AI26" s="39">
        <v>0.57430555555555551</v>
      </c>
      <c r="AJ26" s="17" t="s">
        <v>69</v>
      </c>
      <c r="AL26" s="17">
        <f t="shared" si="5"/>
        <v>0</v>
      </c>
      <c r="AQ26" s="17">
        <f t="shared" si="6"/>
        <v>0</v>
      </c>
      <c r="AR26" s="38"/>
      <c r="AS26" s="39"/>
      <c r="AT26" s="17"/>
      <c r="AV26" s="17">
        <f t="shared" si="7"/>
        <v>0</v>
      </c>
      <c r="AZ26" s="26">
        <v>6915</v>
      </c>
    </row>
    <row r="27" spans="1:52" ht="16" customHeight="1" x14ac:dyDescent="0.15">
      <c r="A27" s="17" t="s">
        <v>531</v>
      </c>
      <c r="B27" s="32">
        <v>47.625450000000001</v>
      </c>
      <c r="C27" s="32">
        <v>-64.833629999999999</v>
      </c>
      <c r="D27" s="17" t="s">
        <v>37</v>
      </c>
      <c r="E27" s="17" t="s">
        <v>252</v>
      </c>
      <c r="F27" s="17" t="s">
        <v>77</v>
      </c>
      <c r="G27" s="17" t="s">
        <v>116</v>
      </c>
      <c r="H27" s="26" t="s">
        <v>117</v>
      </c>
      <c r="I27" s="26" t="s">
        <v>37</v>
      </c>
      <c r="J27" s="45">
        <v>22195247</v>
      </c>
      <c r="K27" s="26" t="s">
        <v>418</v>
      </c>
      <c r="M27" s="26">
        <v>134.19999999999999</v>
      </c>
      <c r="N27" s="26" t="s">
        <v>37</v>
      </c>
      <c r="O27" s="26" t="s">
        <v>37</v>
      </c>
      <c r="P27" s="26" t="s">
        <v>37</v>
      </c>
      <c r="Q27" s="26" t="s">
        <v>118</v>
      </c>
      <c r="R27" s="47">
        <v>45864.583344907405</v>
      </c>
      <c r="S27" s="34">
        <v>45974.500011574077</v>
      </c>
      <c r="AA27" s="30">
        <v>48.566666666666663</v>
      </c>
      <c r="AB27" s="30">
        <v>48.566666666666663</v>
      </c>
      <c r="AC27" s="43">
        <v>0</v>
      </c>
      <c r="AD27" s="43">
        <v>0</v>
      </c>
      <c r="AE27" s="43">
        <v>0</v>
      </c>
      <c r="AF27" s="26">
        <v>81.5</v>
      </c>
      <c r="AG27" s="17">
        <f t="shared" si="4"/>
        <v>-81.5</v>
      </c>
      <c r="AH27" s="38">
        <v>45974</v>
      </c>
      <c r="AI27" s="39">
        <v>0.5395833333333333</v>
      </c>
      <c r="AJ27" s="17" t="s">
        <v>69</v>
      </c>
      <c r="AL27" s="17">
        <f t="shared" si="5"/>
        <v>0</v>
      </c>
      <c r="AQ27" s="17">
        <f t="shared" si="6"/>
        <v>0</v>
      </c>
      <c r="AV27" s="17">
        <f t="shared" si="7"/>
        <v>0</v>
      </c>
      <c r="AZ27" s="26">
        <v>6915</v>
      </c>
    </row>
    <row r="28" spans="1:52" ht="14" customHeight="1" x14ac:dyDescent="0.2">
      <c r="A28" s="26" t="s">
        <v>546</v>
      </c>
      <c r="B28" s="28">
        <v>47.796570000000003</v>
      </c>
      <c r="C28" s="83" t="s">
        <v>128</v>
      </c>
      <c r="D28" s="26" t="s">
        <v>37</v>
      </c>
      <c r="E28" s="17" t="s">
        <v>252</v>
      </c>
      <c r="F28" s="26" t="s">
        <v>131</v>
      </c>
      <c r="G28" s="17" t="s">
        <v>129</v>
      </c>
      <c r="H28" s="26" t="s">
        <v>130</v>
      </c>
      <c r="I28" s="26" t="s">
        <v>37</v>
      </c>
      <c r="J28" s="45">
        <v>22220781</v>
      </c>
      <c r="K28" s="26" t="s">
        <v>418</v>
      </c>
      <c r="L28" s="26" t="s">
        <v>37</v>
      </c>
      <c r="M28" s="26">
        <v>129</v>
      </c>
      <c r="N28" s="26" t="s">
        <v>37</v>
      </c>
      <c r="O28" s="26" t="s">
        <v>37</v>
      </c>
      <c r="P28" s="26" t="s">
        <v>37</v>
      </c>
      <c r="R28" s="47">
        <v>45783.583344907405</v>
      </c>
      <c r="S28" s="47">
        <v>45973.416678240741</v>
      </c>
      <c r="AA28" s="30">
        <v>70.462500000000006</v>
      </c>
      <c r="AB28" s="30">
        <v>70.462500000000006</v>
      </c>
      <c r="AC28" s="42">
        <v>0</v>
      </c>
      <c r="AD28" s="42">
        <v>0</v>
      </c>
      <c r="AE28" s="42">
        <v>0</v>
      </c>
      <c r="AF28" s="26">
        <v>94.7</v>
      </c>
      <c r="AG28" s="8">
        <f t="shared" si="4"/>
        <v>-94.7</v>
      </c>
      <c r="AH28" s="29">
        <v>45824</v>
      </c>
      <c r="AI28" s="31">
        <v>0.58334490740740741</v>
      </c>
      <c r="AJ28" s="26" t="s">
        <v>63</v>
      </c>
      <c r="AK28" s="26">
        <v>97.5</v>
      </c>
      <c r="AL28" s="17">
        <f t="shared" si="5"/>
        <v>-97.5</v>
      </c>
      <c r="AM28" s="29">
        <v>45866</v>
      </c>
      <c r="AN28" s="31">
        <v>0.44028935185185186</v>
      </c>
      <c r="AO28" s="26" t="s">
        <v>63</v>
      </c>
      <c r="AP28" s="26">
        <v>139.5</v>
      </c>
      <c r="AQ28" s="8">
        <f t="shared" si="6"/>
        <v>-139.5</v>
      </c>
      <c r="AR28" s="29">
        <v>45937</v>
      </c>
      <c r="AS28" s="31">
        <v>0.44375000000000003</v>
      </c>
      <c r="AT28" s="26" t="s">
        <v>69</v>
      </c>
      <c r="AU28" s="26">
        <v>93</v>
      </c>
      <c r="AV28" s="8">
        <f t="shared" si="7"/>
        <v>-93</v>
      </c>
      <c r="AW28" s="29">
        <v>45973</v>
      </c>
      <c r="AX28" s="31">
        <v>0.42291666666666666</v>
      </c>
      <c r="AY28" s="26" t="s">
        <v>69</v>
      </c>
      <c r="AZ28" s="26">
        <v>8539</v>
      </c>
    </row>
    <row r="29" spans="1:52" ht="14" customHeight="1" x14ac:dyDescent="0.15">
      <c r="A29" s="17" t="s">
        <v>537</v>
      </c>
      <c r="B29" s="32">
        <v>47.622689999999999</v>
      </c>
      <c r="C29" s="33" t="s">
        <v>210</v>
      </c>
      <c r="D29" s="17" t="s">
        <v>37</v>
      </c>
      <c r="E29" s="17" t="s">
        <v>252</v>
      </c>
      <c r="F29" s="17" t="s">
        <v>77</v>
      </c>
      <c r="G29" s="17" t="s">
        <v>213</v>
      </c>
      <c r="H29" s="17" t="s">
        <v>136</v>
      </c>
      <c r="I29" s="26" t="s">
        <v>37</v>
      </c>
      <c r="J29" s="46">
        <v>22220785</v>
      </c>
      <c r="K29" s="26" t="s">
        <v>418</v>
      </c>
      <c r="L29" s="17"/>
      <c r="M29" s="17">
        <v>137.6</v>
      </c>
      <c r="N29" s="26" t="s">
        <v>37</v>
      </c>
      <c r="O29" s="26" t="s">
        <v>37</v>
      </c>
      <c r="P29" s="26" t="s">
        <v>37</v>
      </c>
      <c r="Q29" s="17" t="s">
        <v>214</v>
      </c>
      <c r="R29" s="48" t="s">
        <v>205</v>
      </c>
      <c r="S29" s="34">
        <v>45974.416666666664</v>
      </c>
      <c r="T29" s="40"/>
      <c r="U29" s="40"/>
      <c r="V29" s="40"/>
      <c r="W29" s="40"/>
      <c r="X29" s="40"/>
      <c r="Y29" s="40"/>
      <c r="Z29" s="40"/>
      <c r="AA29" s="36">
        <v>30.7</v>
      </c>
      <c r="AB29" s="36">
        <v>30.7</v>
      </c>
      <c r="AC29" s="44">
        <v>0</v>
      </c>
      <c r="AD29" s="44">
        <v>0</v>
      </c>
      <c r="AE29" s="44">
        <v>0</v>
      </c>
      <c r="AF29" s="17">
        <v>89.9</v>
      </c>
      <c r="AG29" s="17">
        <f t="shared" si="4"/>
        <v>-89.9</v>
      </c>
      <c r="AH29" s="38">
        <v>45859</v>
      </c>
      <c r="AI29" s="39">
        <v>0.463900462962963</v>
      </c>
      <c r="AJ29" s="17" t="s">
        <v>212</v>
      </c>
      <c r="AK29" s="17">
        <v>77.5</v>
      </c>
      <c r="AL29" s="17">
        <f t="shared" si="5"/>
        <v>-77.5</v>
      </c>
      <c r="AM29" s="38">
        <v>45974</v>
      </c>
      <c r="AN29" s="39">
        <v>0.44930555555555557</v>
      </c>
      <c r="AO29" s="17" t="s">
        <v>69</v>
      </c>
      <c r="AP29" s="17"/>
      <c r="AQ29" s="17">
        <f t="shared" si="6"/>
        <v>0</v>
      </c>
      <c r="AR29" s="17"/>
      <c r="AS29" s="17"/>
      <c r="AT29" s="17"/>
      <c r="AU29" s="17"/>
      <c r="AV29" s="17">
        <f t="shared" si="7"/>
        <v>0</v>
      </c>
      <c r="AW29" s="17"/>
      <c r="AX29" s="17"/>
      <c r="AY29" s="17"/>
      <c r="AZ29" s="26">
        <v>6915</v>
      </c>
    </row>
    <row r="30" spans="1:52" ht="14" customHeight="1" x14ac:dyDescent="0.15">
      <c r="A30" s="17" t="s">
        <v>533</v>
      </c>
      <c r="B30" s="32">
        <v>47.622990000000001</v>
      </c>
      <c r="C30" s="33" t="s">
        <v>196</v>
      </c>
      <c r="D30" s="17" t="s">
        <v>37</v>
      </c>
      <c r="E30" s="17" t="s">
        <v>252</v>
      </c>
      <c r="F30" s="17" t="s">
        <v>77</v>
      </c>
      <c r="G30" s="17" t="s">
        <v>197</v>
      </c>
      <c r="H30" s="17" t="s">
        <v>93</v>
      </c>
      <c r="I30" s="26" t="s">
        <v>37</v>
      </c>
      <c r="J30" s="46">
        <v>22220790</v>
      </c>
      <c r="K30" s="26" t="s">
        <v>418</v>
      </c>
      <c r="L30" s="17"/>
      <c r="M30" s="17">
        <v>137.69999999999999</v>
      </c>
      <c r="N30" s="26" t="s">
        <v>37</v>
      </c>
      <c r="O30" s="26" t="s">
        <v>37</v>
      </c>
      <c r="P30" s="26" t="s">
        <v>37</v>
      </c>
      <c r="Q30" s="17"/>
      <c r="R30" s="48" t="s">
        <v>176</v>
      </c>
      <c r="S30" s="34">
        <v>45974.458333333336</v>
      </c>
      <c r="T30" s="40"/>
      <c r="U30" s="40"/>
      <c r="V30" s="40"/>
      <c r="W30" s="40"/>
      <c r="X30" s="40"/>
      <c r="Y30" s="40"/>
      <c r="Z30" s="40"/>
      <c r="AA30" s="36">
        <v>36.283333333333331</v>
      </c>
      <c r="AB30" s="30">
        <v>36.283333333333331</v>
      </c>
      <c r="AC30" s="43">
        <v>0</v>
      </c>
      <c r="AD30" s="43">
        <v>0</v>
      </c>
      <c r="AE30" s="43">
        <v>0</v>
      </c>
      <c r="AF30" s="17">
        <v>111.5</v>
      </c>
      <c r="AG30" s="17">
        <f t="shared" si="4"/>
        <v>-111.5</v>
      </c>
      <c r="AH30" s="29">
        <v>45859</v>
      </c>
      <c r="AI30" s="31">
        <v>0.62987268518518513</v>
      </c>
      <c r="AJ30" s="17" t="s">
        <v>45</v>
      </c>
      <c r="AK30" s="17">
        <v>103.5</v>
      </c>
      <c r="AL30" s="17"/>
      <c r="AM30" s="38">
        <v>45974</v>
      </c>
      <c r="AN30" s="39">
        <v>0.4777777777777778</v>
      </c>
      <c r="AO30" s="17" t="s">
        <v>69</v>
      </c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26">
        <v>6915</v>
      </c>
    </row>
    <row r="31" spans="1:52" s="17" customFormat="1" ht="14" customHeight="1" x14ac:dyDescent="0.2">
      <c r="A31" s="26" t="s">
        <v>550</v>
      </c>
      <c r="B31" s="28">
        <v>47.173580000000001</v>
      </c>
      <c r="C31" s="83" t="s">
        <v>38</v>
      </c>
      <c r="D31" s="17" t="s">
        <v>37</v>
      </c>
      <c r="E31" s="17" t="s">
        <v>252</v>
      </c>
      <c r="F31" s="17" t="s">
        <v>54</v>
      </c>
      <c r="G31" s="17" t="s">
        <v>39</v>
      </c>
      <c r="H31" s="17" t="s">
        <v>429</v>
      </c>
      <c r="I31" s="26" t="s">
        <v>37</v>
      </c>
      <c r="J31" s="45">
        <v>22224385</v>
      </c>
      <c r="K31" s="26" t="s">
        <v>418</v>
      </c>
      <c r="L31" s="26"/>
      <c r="M31" s="26">
        <v>140</v>
      </c>
      <c r="N31" s="26" t="s">
        <v>37</v>
      </c>
      <c r="O31" s="26" t="s">
        <v>37</v>
      </c>
      <c r="P31" s="26" t="s">
        <v>37</v>
      </c>
      <c r="Q31" s="26"/>
      <c r="R31" s="47">
        <v>45864.506956018522</v>
      </c>
      <c r="S31" s="34">
        <v>45974.333333333336</v>
      </c>
      <c r="T31" s="27"/>
      <c r="U31" s="27"/>
      <c r="V31" s="27"/>
      <c r="W31" s="27"/>
      <c r="X31" s="27"/>
      <c r="Y31" s="27"/>
      <c r="Z31" s="27"/>
      <c r="AA31" s="30">
        <v>74.333333333333329</v>
      </c>
      <c r="AB31" s="30">
        <v>74.333333333333329</v>
      </c>
      <c r="AC31" s="43">
        <v>0</v>
      </c>
      <c r="AD31" s="43">
        <v>0</v>
      </c>
      <c r="AE31" s="43">
        <v>0</v>
      </c>
      <c r="AF31" s="26">
        <v>101</v>
      </c>
      <c r="AG31" s="8">
        <f t="shared" si="4"/>
        <v>-101</v>
      </c>
      <c r="AH31" s="29">
        <v>45974</v>
      </c>
      <c r="AI31" s="31">
        <v>0.3666666666666667</v>
      </c>
      <c r="AJ31" s="26" t="s">
        <v>69</v>
      </c>
      <c r="AK31" s="26"/>
      <c r="AL31" s="17">
        <f t="shared" ref="AL31:AL41" si="8">AK31*-1</f>
        <v>0</v>
      </c>
      <c r="AM31" s="26"/>
      <c r="AN31" s="26"/>
      <c r="AO31" s="26"/>
      <c r="AP31" s="26"/>
      <c r="AQ31" s="17">
        <f t="shared" ref="AQ31:AQ38" si="9">AP31*-1</f>
        <v>0</v>
      </c>
      <c r="AR31" s="26"/>
      <c r="AS31" s="26"/>
      <c r="AT31" s="26"/>
      <c r="AU31" s="26"/>
      <c r="AV31" s="17">
        <f t="shared" ref="AV31:AV44" si="10">AU31*-1</f>
        <v>0</v>
      </c>
      <c r="AW31" s="26"/>
      <c r="AX31" s="26"/>
      <c r="AY31" s="26"/>
      <c r="AZ31">
        <v>6128</v>
      </c>
    </row>
    <row r="32" spans="1:52" s="17" customFormat="1" ht="15" customHeight="1" x14ac:dyDescent="0.15">
      <c r="A32" s="17" t="s">
        <v>539</v>
      </c>
      <c r="B32" s="32">
        <v>47.62276</v>
      </c>
      <c r="C32" s="33" t="s">
        <v>206</v>
      </c>
      <c r="D32" s="17" t="s">
        <v>37</v>
      </c>
      <c r="E32" s="17" t="s">
        <v>252</v>
      </c>
      <c r="F32" s="17" t="s">
        <v>77</v>
      </c>
      <c r="G32" s="17" t="s">
        <v>207</v>
      </c>
      <c r="H32" s="17" t="s">
        <v>170</v>
      </c>
      <c r="I32" s="26" t="s">
        <v>37</v>
      </c>
      <c r="J32" s="46">
        <v>22224387</v>
      </c>
      <c r="K32" s="26" t="s">
        <v>418</v>
      </c>
      <c r="M32" s="17">
        <v>238</v>
      </c>
      <c r="N32" s="26" t="s">
        <v>37</v>
      </c>
      <c r="O32" s="26" t="s">
        <v>37</v>
      </c>
      <c r="P32" s="26" t="s">
        <v>37</v>
      </c>
      <c r="R32" s="48" t="s">
        <v>205</v>
      </c>
      <c r="S32" s="34">
        <v>45974.416666666664</v>
      </c>
      <c r="T32" s="40"/>
      <c r="U32" s="40"/>
      <c r="V32" s="40"/>
      <c r="W32" s="40"/>
      <c r="X32" s="40"/>
      <c r="Y32" s="40"/>
      <c r="Z32" s="40"/>
      <c r="AA32" s="36">
        <v>36.85</v>
      </c>
      <c r="AB32" s="30">
        <v>36.85</v>
      </c>
      <c r="AC32" s="43">
        <v>0</v>
      </c>
      <c r="AD32" s="43">
        <v>0</v>
      </c>
      <c r="AE32" s="43">
        <v>0</v>
      </c>
      <c r="AF32" s="17">
        <v>154.19999999999999</v>
      </c>
      <c r="AG32" s="17">
        <f t="shared" si="4"/>
        <v>-154.19999999999999</v>
      </c>
      <c r="AH32" s="38">
        <v>45859</v>
      </c>
      <c r="AI32" s="39">
        <v>0.46876157407407404</v>
      </c>
      <c r="AJ32" s="17" t="s">
        <v>45</v>
      </c>
      <c r="AK32" s="17">
        <v>162.5</v>
      </c>
      <c r="AL32" s="17">
        <f t="shared" si="8"/>
        <v>-162.5</v>
      </c>
      <c r="AM32" s="38">
        <v>45974</v>
      </c>
      <c r="AN32" s="39">
        <v>0.44930555555555557</v>
      </c>
      <c r="AO32" s="17" t="s">
        <v>69</v>
      </c>
      <c r="AQ32" s="17">
        <f t="shared" si="9"/>
        <v>0</v>
      </c>
      <c r="AV32" s="17">
        <f t="shared" si="10"/>
        <v>0</v>
      </c>
      <c r="AZ32" s="26">
        <v>6915</v>
      </c>
    </row>
    <row r="33" spans="1:52" ht="16" customHeight="1" x14ac:dyDescent="0.15">
      <c r="A33" s="17" t="s">
        <v>544</v>
      </c>
      <c r="B33" s="32">
        <v>47.62276</v>
      </c>
      <c r="C33" s="33" t="s">
        <v>203</v>
      </c>
      <c r="D33" s="17" t="s">
        <v>37</v>
      </c>
      <c r="E33" s="17" t="s">
        <v>252</v>
      </c>
      <c r="F33" s="17" t="s">
        <v>77</v>
      </c>
      <c r="G33" s="17" t="s">
        <v>204</v>
      </c>
      <c r="H33" s="17" t="s">
        <v>170</v>
      </c>
      <c r="I33" s="26" t="s">
        <v>37</v>
      </c>
      <c r="J33" s="46">
        <v>22224388</v>
      </c>
      <c r="K33" s="26" t="s">
        <v>418</v>
      </c>
      <c r="L33" s="17"/>
      <c r="M33" s="17">
        <v>136.69999999999999</v>
      </c>
      <c r="N33" s="26" t="s">
        <v>37</v>
      </c>
      <c r="O33" s="26" t="s">
        <v>37</v>
      </c>
      <c r="P33" s="26" t="s">
        <v>37</v>
      </c>
      <c r="Q33" s="17"/>
      <c r="R33" s="48" t="s">
        <v>205</v>
      </c>
      <c r="S33" s="34">
        <v>45974.458344907405</v>
      </c>
      <c r="T33" s="40"/>
      <c r="U33" s="40"/>
      <c r="V33" s="40"/>
      <c r="W33" s="40"/>
      <c r="X33" s="40"/>
      <c r="Y33" s="40"/>
      <c r="Z33" s="40"/>
      <c r="AA33" s="36">
        <v>32.916666666666671</v>
      </c>
      <c r="AB33" s="30">
        <v>32.916666666666671</v>
      </c>
      <c r="AC33" s="43">
        <v>0</v>
      </c>
      <c r="AD33" s="43">
        <v>0</v>
      </c>
      <c r="AE33" s="43">
        <v>0</v>
      </c>
      <c r="AF33" s="17">
        <v>100</v>
      </c>
      <c r="AG33" s="17">
        <f t="shared" si="4"/>
        <v>-100</v>
      </c>
      <c r="AH33" s="38">
        <v>45859</v>
      </c>
      <c r="AI33" s="39">
        <v>0.46737268518518515</v>
      </c>
      <c r="AJ33" s="17" t="s">
        <v>45</v>
      </c>
      <c r="AK33" s="17">
        <v>106.5</v>
      </c>
      <c r="AL33" s="17">
        <f t="shared" si="8"/>
        <v>-106.5</v>
      </c>
      <c r="AM33" s="38">
        <v>45974</v>
      </c>
      <c r="AN33" s="39">
        <v>0.4597222222222222</v>
      </c>
      <c r="AO33" s="17" t="s">
        <v>69</v>
      </c>
      <c r="AP33" s="17"/>
      <c r="AQ33" s="17">
        <f t="shared" si="9"/>
        <v>0</v>
      </c>
      <c r="AR33" s="17"/>
      <c r="AS33" s="17"/>
      <c r="AT33" s="17"/>
      <c r="AU33" s="17"/>
      <c r="AV33" s="17">
        <f t="shared" si="10"/>
        <v>0</v>
      </c>
      <c r="AW33" s="17"/>
      <c r="AX33" s="17"/>
      <c r="AY33" s="17"/>
      <c r="AZ33" s="26">
        <v>6915</v>
      </c>
    </row>
    <row r="34" spans="1:52" s="17" customFormat="1" ht="14" customHeight="1" x14ac:dyDescent="0.15">
      <c r="A34" s="17" t="s">
        <v>547</v>
      </c>
      <c r="B34" s="32">
        <f>47.62256</f>
        <v>47.62256</v>
      </c>
      <c r="C34" s="33" t="s">
        <v>172</v>
      </c>
      <c r="D34" s="17" t="s">
        <v>37</v>
      </c>
      <c r="E34" s="17" t="s">
        <v>252</v>
      </c>
      <c r="F34" s="17" t="s">
        <v>77</v>
      </c>
      <c r="G34" s="17" t="s">
        <v>173</v>
      </c>
      <c r="H34" s="17" t="s">
        <v>162</v>
      </c>
      <c r="I34" s="26" t="s">
        <v>37</v>
      </c>
      <c r="J34" s="46">
        <v>22224389</v>
      </c>
      <c r="K34" s="26" t="s">
        <v>418</v>
      </c>
      <c r="M34" s="17">
        <v>241.2</v>
      </c>
      <c r="N34" s="26" t="s">
        <v>37</v>
      </c>
      <c r="O34" s="26" t="s">
        <v>37</v>
      </c>
      <c r="P34" s="26" t="s">
        <v>37</v>
      </c>
      <c r="R34" s="48">
        <v>45806.458344907405</v>
      </c>
      <c r="S34" s="34">
        <v>45974.458333333336</v>
      </c>
      <c r="T34" s="40"/>
      <c r="U34" s="40"/>
      <c r="V34" s="40"/>
      <c r="W34" s="40"/>
      <c r="X34" s="40"/>
      <c r="Y34" s="40"/>
      <c r="Z34" s="40"/>
      <c r="AA34" s="36">
        <v>36.666666666666671</v>
      </c>
      <c r="AB34" s="30">
        <v>36.666666666666671</v>
      </c>
      <c r="AC34" s="43">
        <v>0</v>
      </c>
      <c r="AD34" s="43">
        <v>0</v>
      </c>
      <c r="AE34" s="43">
        <v>0</v>
      </c>
      <c r="AF34" s="26">
        <v>140.30000000000001</v>
      </c>
      <c r="AG34" s="17">
        <f t="shared" si="4"/>
        <v>-140.30000000000001</v>
      </c>
      <c r="AH34" s="29">
        <v>45806</v>
      </c>
      <c r="AI34" s="31">
        <v>0.37501157407407404</v>
      </c>
      <c r="AJ34" s="26" t="s">
        <v>45</v>
      </c>
      <c r="AK34" s="17">
        <v>166.8</v>
      </c>
      <c r="AL34" s="17">
        <f t="shared" si="8"/>
        <v>-166.8</v>
      </c>
      <c r="AM34" s="38">
        <v>45859</v>
      </c>
      <c r="AN34" s="39">
        <v>0.52362268518518518</v>
      </c>
      <c r="AO34" s="17" t="s">
        <v>45</v>
      </c>
      <c r="AP34" s="17">
        <v>179.75</v>
      </c>
      <c r="AQ34" s="17">
        <f t="shared" si="9"/>
        <v>-179.75</v>
      </c>
      <c r="AR34" s="38">
        <v>45974</v>
      </c>
      <c r="AS34" s="39">
        <v>0.48472222222222222</v>
      </c>
      <c r="AT34" s="17" t="s">
        <v>69</v>
      </c>
      <c r="AV34" s="17">
        <f t="shared" si="10"/>
        <v>0</v>
      </c>
      <c r="AZ34" s="26">
        <v>6915</v>
      </c>
    </row>
    <row r="35" spans="1:52" ht="14" customHeight="1" x14ac:dyDescent="0.15">
      <c r="A35" s="17" t="s">
        <v>543</v>
      </c>
      <c r="B35" s="32">
        <v>47.622599999999998</v>
      </c>
      <c r="C35" s="33" t="s">
        <v>177</v>
      </c>
      <c r="D35" s="17" t="s">
        <v>37</v>
      </c>
      <c r="E35" s="17" t="s">
        <v>252</v>
      </c>
      <c r="F35" s="17" t="s">
        <v>77</v>
      </c>
      <c r="G35" s="17" t="s">
        <v>178</v>
      </c>
      <c r="H35" s="17" t="s">
        <v>139</v>
      </c>
      <c r="I35" s="26" t="s">
        <v>37</v>
      </c>
      <c r="J35" s="46">
        <v>22224391</v>
      </c>
      <c r="K35" s="26" t="s">
        <v>418</v>
      </c>
      <c r="L35" s="17"/>
      <c r="M35" s="17">
        <v>290.10000000000002</v>
      </c>
      <c r="N35" s="26" t="s">
        <v>37</v>
      </c>
      <c r="O35" s="26" t="s">
        <v>37</v>
      </c>
      <c r="P35" s="26" t="s">
        <v>37</v>
      </c>
      <c r="Q35" s="17"/>
      <c r="R35" s="48" t="s">
        <v>179</v>
      </c>
      <c r="S35" s="34">
        <v>45974.458333333336</v>
      </c>
      <c r="T35" s="40"/>
      <c r="U35" s="40"/>
      <c r="V35" s="40"/>
      <c r="W35" s="40"/>
      <c r="X35" s="40"/>
      <c r="Y35" s="40"/>
      <c r="Z35" s="40"/>
      <c r="AA35" s="36">
        <v>76.399999999999991</v>
      </c>
      <c r="AB35" s="30">
        <v>76.399999999999991</v>
      </c>
      <c r="AC35" s="43">
        <v>0</v>
      </c>
      <c r="AD35" s="43">
        <v>0</v>
      </c>
      <c r="AE35" s="43">
        <v>0</v>
      </c>
      <c r="AF35" s="17">
        <v>185.7</v>
      </c>
      <c r="AG35" s="17">
        <f t="shared" si="4"/>
        <v>-185.7</v>
      </c>
      <c r="AH35" s="29">
        <v>45806</v>
      </c>
      <c r="AI35" s="31">
        <v>0.37501157407407404</v>
      </c>
      <c r="AJ35" s="26" t="s">
        <v>45</v>
      </c>
      <c r="AK35" s="17">
        <v>218.2</v>
      </c>
      <c r="AL35" s="17">
        <f t="shared" si="8"/>
        <v>-218.2</v>
      </c>
      <c r="AM35" s="38">
        <v>45859</v>
      </c>
      <c r="AN35" s="39">
        <v>0.49376157407407412</v>
      </c>
      <c r="AO35" s="17" t="s">
        <v>45</v>
      </c>
      <c r="AP35" s="17">
        <v>244</v>
      </c>
      <c r="AQ35" s="17">
        <f t="shared" si="9"/>
        <v>-244</v>
      </c>
      <c r="AR35" s="38">
        <v>45974</v>
      </c>
      <c r="AS35" s="39">
        <v>0.47291666666666665</v>
      </c>
      <c r="AT35" s="17" t="s">
        <v>69</v>
      </c>
      <c r="AU35" s="17"/>
      <c r="AV35" s="17">
        <f t="shared" si="10"/>
        <v>0</v>
      </c>
      <c r="AW35" s="17"/>
      <c r="AX35" s="17"/>
      <c r="AY35" s="17"/>
      <c r="AZ35" s="26">
        <v>6915</v>
      </c>
    </row>
    <row r="36" spans="1:52" ht="14" customHeight="1" x14ac:dyDescent="0.15">
      <c r="A36" s="17" t="s">
        <v>538</v>
      </c>
      <c r="B36" s="32">
        <f>47.62304</f>
        <v>47.623040000000003</v>
      </c>
      <c r="C36" s="33" t="s">
        <v>134</v>
      </c>
      <c r="D36" s="17" t="s">
        <v>37</v>
      </c>
      <c r="E36" s="17" t="s">
        <v>252</v>
      </c>
      <c r="F36" s="17" t="s">
        <v>77</v>
      </c>
      <c r="G36" s="17" t="s">
        <v>135</v>
      </c>
      <c r="H36" s="17" t="s">
        <v>136</v>
      </c>
      <c r="I36" s="26" t="s">
        <v>37</v>
      </c>
      <c r="J36" s="46">
        <v>22224392</v>
      </c>
      <c r="K36" s="26" t="s">
        <v>418</v>
      </c>
      <c r="L36" s="17"/>
      <c r="M36" s="17">
        <v>139.80000000000001</v>
      </c>
      <c r="N36" s="26" t="s">
        <v>37</v>
      </c>
      <c r="O36" s="26" t="s">
        <v>37</v>
      </c>
      <c r="P36" s="26" t="s">
        <v>37</v>
      </c>
      <c r="Q36" s="17" t="s">
        <v>424</v>
      </c>
      <c r="R36" s="48">
        <v>45801.583344907405</v>
      </c>
      <c r="S36" s="34">
        <v>45974.416666666664</v>
      </c>
      <c r="T36" s="35"/>
      <c r="U36" s="35"/>
      <c r="V36" s="35"/>
      <c r="W36" s="35"/>
      <c r="X36" s="35"/>
      <c r="Y36" s="35"/>
      <c r="Z36" s="35"/>
      <c r="AA36" s="30">
        <v>30.499999999999986</v>
      </c>
      <c r="AB36" s="30">
        <v>30.499999999999986</v>
      </c>
      <c r="AC36" s="43">
        <v>0</v>
      </c>
      <c r="AD36" s="43">
        <v>0</v>
      </c>
      <c r="AE36" s="43">
        <v>0</v>
      </c>
      <c r="AF36" s="17">
        <v>33.5</v>
      </c>
      <c r="AG36" s="17">
        <f t="shared" si="4"/>
        <v>-33.5</v>
      </c>
      <c r="AH36" s="38">
        <v>45803</v>
      </c>
      <c r="AI36" s="39">
        <v>0.37501157407407404</v>
      </c>
      <c r="AJ36" s="17" t="s">
        <v>45</v>
      </c>
      <c r="AK36" s="17">
        <v>93.5</v>
      </c>
      <c r="AL36" s="17">
        <f t="shared" si="8"/>
        <v>-93.5</v>
      </c>
      <c r="AM36" s="38">
        <v>45859</v>
      </c>
      <c r="AN36" s="39">
        <v>0.45834490740740735</v>
      </c>
      <c r="AO36" s="17" t="s">
        <v>45</v>
      </c>
      <c r="AP36" s="17">
        <v>58.25</v>
      </c>
      <c r="AQ36" s="17">
        <f t="shared" si="9"/>
        <v>-58.25</v>
      </c>
      <c r="AR36" s="38">
        <v>45974</v>
      </c>
      <c r="AS36" s="39">
        <v>0.44444444444444442</v>
      </c>
      <c r="AT36" s="17" t="s">
        <v>69</v>
      </c>
      <c r="AU36" s="17"/>
      <c r="AV36" s="17">
        <f t="shared" si="10"/>
        <v>0</v>
      </c>
      <c r="AW36" s="17"/>
      <c r="AX36" s="17"/>
      <c r="AY36" s="17"/>
      <c r="AZ36" s="26">
        <v>6915</v>
      </c>
    </row>
    <row r="37" spans="1:52" ht="14" customHeight="1" x14ac:dyDescent="0.15">
      <c r="A37" s="17" t="s">
        <v>532</v>
      </c>
      <c r="B37" s="32">
        <v>47.622950000000003</v>
      </c>
      <c r="C37" s="33" t="s">
        <v>163</v>
      </c>
      <c r="D37" s="17" t="s">
        <v>37</v>
      </c>
      <c r="E37" s="17" t="s">
        <v>252</v>
      </c>
      <c r="F37" s="17" t="s">
        <v>77</v>
      </c>
      <c r="G37" s="17" t="s">
        <v>164</v>
      </c>
      <c r="H37" s="17" t="s">
        <v>87</v>
      </c>
      <c r="I37" s="26" t="s">
        <v>37</v>
      </c>
      <c r="J37" s="46">
        <v>22224393</v>
      </c>
      <c r="K37" s="26" t="s">
        <v>418</v>
      </c>
      <c r="L37" s="17"/>
      <c r="M37" s="17">
        <v>221.6</v>
      </c>
      <c r="N37" s="26" t="s">
        <v>37</v>
      </c>
      <c r="O37" s="26" t="s">
        <v>37</v>
      </c>
      <c r="P37" s="26" t="s">
        <v>37</v>
      </c>
      <c r="Q37" s="17"/>
      <c r="R37" s="48" t="s">
        <v>165</v>
      </c>
      <c r="S37" s="34">
        <v>45974.5</v>
      </c>
      <c r="T37" s="40"/>
      <c r="U37" s="40"/>
      <c r="V37" s="40"/>
      <c r="W37" s="40"/>
      <c r="X37" s="40"/>
      <c r="Y37" s="40"/>
      <c r="Z37" s="40"/>
      <c r="AA37" s="36">
        <v>46.783333333333331</v>
      </c>
      <c r="AB37" s="30">
        <v>46.783333333333331</v>
      </c>
      <c r="AC37" s="43">
        <v>0</v>
      </c>
      <c r="AD37" s="43">
        <v>0</v>
      </c>
      <c r="AE37" s="43">
        <v>0</v>
      </c>
      <c r="AF37" s="17">
        <v>124.6</v>
      </c>
      <c r="AG37" s="17">
        <f t="shared" si="4"/>
        <v>-124.6</v>
      </c>
      <c r="AH37" s="29">
        <v>45806</v>
      </c>
      <c r="AI37" s="31">
        <v>0.37501157407407404</v>
      </c>
      <c r="AJ37" s="26" t="s">
        <v>45</v>
      </c>
      <c r="AK37" s="17">
        <v>159.69999999999999</v>
      </c>
      <c r="AL37" s="17">
        <f t="shared" si="8"/>
        <v>-159.69999999999999</v>
      </c>
      <c r="AM37" s="38">
        <v>45859</v>
      </c>
      <c r="AN37" s="39">
        <v>0.55834490740740739</v>
      </c>
      <c r="AO37" s="17" t="s">
        <v>45</v>
      </c>
      <c r="AP37" s="17">
        <v>163.5</v>
      </c>
      <c r="AQ37" s="17">
        <f t="shared" si="9"/>
        <v>-163.5</v>
      </c>
      <c r="AR37" s="38">
        <v>45974</v>
      </c>
      <c r="AS37" s="39">
        <v>0.51527777777777783</v>
      </c>
      <c r="AT37" s="17" t="s">
        <v>69</v>
      </c>
      <c r="AU37" s="17"/>
      <c r="AV37" s="17">
        <f t="shared" si="10"/>
        <v>0</v>
      </c>
      <c r="AW37" s="17"/>
      <c r="AX37" s="17"/>
      <c r="AY37" s="17"/>
      <c r="AZ37" s="26">
        <v>6915</v>
      </c>
    </row>
    <row r="38" spans="1:52" ht="14" customHeight="1" x14ac:dyDescent="0.15">
      <c r="A38" s="17" t="s">
        <v>528</v>
      </c>
      <c r="B38" s="32">
        <v>47.622570000000003</v>
      </c>
      <c r="C38" s="33" t="s">
        <v>188</v>
      </c>
      <c r="D38" s="17" t="s">
        <v>37</v>
      </c>
      <c r="E38" s="17" t="s">
        <v>252</v>
      </c>
      <c r="F38" s="17" t="s">
        <v>77</v>
      </c>
      <c r="G38" s="17" t="s">
        <v>189</v>
      </c>
      <c r="H38" s="17" t="s">
        <v>81</v>
      </c>
      <c r="I38" s="26" t="s">
        <v>37</v>
      </c>
      <c r="J38" s="46">
        <v>22224394</v>
      </c>
      <c r="K38" s="26" t="s">
        <v>418</v>
      </c>
      <c r="L38" s="17"/>
      <c r="M38" s="17">
        <v>133.6</v>
      </c>
      <c r="N38" s="26" t="s">
        <v>37</v>
      </c>
      <c r="O38" s="26" t="s">
        <v>37</v>
      </c>
      <c r="P38" s="26" t="s">
        <v>37</v>
      </c>
      <c r="Q38" s="17"/>
      <c r="R38" s="48" t="s">
        <v>179</v>
      </c>
      <c r="S38" s="34">
        <v>45974.458333333336</v>
      </c>
      <c r="T38" s="40"/>
      <c r="U38" s="40"/>
      <c r="V38" s="40"/>
      <c r="W38" s="40"/>
      <c r="X38" s="40"/>
      <c r="Y38" s="40"/>
      <c r="Z38" s="40"/>
      <c r="AA38" s="36">
        <v>19.383333333333333</v>
      </c>
      <c r="AB38" s="30">
        <v>19.383333333333333</v>
      </c>
      <c r="AC38" s="43">
        <v>0</v>
      </c>
      <c r="AD38" s="43">
        <v>0</v>
      </c>
      <c r="AE38" s="43">
        <v>0</v>
      </c>
      <c r="AF38" s="17">
        <v>46.2</v>
      </c>
      <c r="AG38" s="17">
        <f t="shared" si="4"/>
        <v>-46.2</v>
      </c>
      <c r="AH38" s="29">
        <v>45806</v>
      </c>
      <c r="AI38" s="31">
        <v>0.33334490740740735</v>
      </c>
      <c r="AJ38" s="26" t="s">
        <v>45</v>
      </c>
      <c r="AK38" s="17">
        <v>80.5</v>
      </c>
      <c r="AL38" s="17">
        <f t="shared" si="8"/>
        <v>-80.5</v>
      </c>
      <c r="AM38" s="38">
        <v>45859</v>
      </c>
      <c r="AN38" s="39">
        <v>0.48473379629629632</v>
      </c>
      <c r="AO38" s="17" t="s">
        <v>45</v>
      </c>
      <c r="AP38" s="17">
        <v>91.25</v>
      </c>
      <c r="AQ38" s="17">
        <f t="shared" si="9"/>
        <v>-91.25</v>
      </c>
      <c r="AR38" s="38">
        <v>45974</v>
      </c>
      <c r="AS38" s="39">
        <v>0.46527777777777773</v>
      </c>
      <c r="AT38" s="17" t="s">
        <v>69</v>
      </c>
      <c r="AU38" s="17"/>
      <c r="AV38" s="17">
        <f t="shared" si="10"/>
        <v>0</v>
      </c>
      <c r="AW38" s="17"/>
      <c r="AX38" s="17"/>
      <c r="AY38" s="17"/>
      <c r="AZ38" s="26">
        <v>6915</v>
      </c>
    </row>
    <row r="39" spans="1:52" ht="14" customHeight="1" x14ac:dyDescent="0.15">
      <c r="A39" s="17" t="s">
        <v>536</v>
      </c>
      <c r="B39" s="32">
        <v>47.622700000000002</v>
      </c>
      <c r="C39" s="33" t="s">
        <v>157</v>
      </c>
      <c r="D39" s="17" t="s">
        <v>37</v>
      </c>
      <c r="E39" s="17" t="s">
        <v>252</v>
      </c>
      <c r="F39" s="17" t="s">
        <v>77</v>
      </c>
      <c r="G39" s="17" t="s">
        <v>158</v>
      </c>
      <c r="H39" s="17" t="s">
        <v>143</v>
      </c>
      <c r="I39" s="26" t="s">
        <v>37</v>
      </c>
      <c r="J39" s="46">
        <v>22224395</v>
      </c>
      <c r="K39" s="26" t="s">
        <v>418</v>
      </c>
      <c r="L39" s="17"/>
      <c r="M39" s="17">
        <v>137.1</v>
      </c>
      <c r="N39" s="26" t="s">
        <v>37</v>
      </c>
      <c r="O39" s="26" t="s">
        <v>37</v>
      </c>
      <c r="P39" s="26" t="s">
        <v>37</v>
      </c>
      <c r="Q39" s="17"/>
      <c r="R39" s="48" t="s">
        <v>159</v>
      </c>
      <c r="S39" s="34">
        <v>45974.458333333336</v>
      </c>
      <c r="T39" s="40"/>
      <c r="U39" s="40"/>
      <c r="V39" s="40"/>
      <c r="W39" s="40"/>
      <c r="X39" s="40"/>
      <c r="Y39" s="40"/>
      <c r="Z39" s="40"/>
      <c r="AA39" s="36">
        <v>39.5</v>
      </c>
      <c r="AB39" s="30">
        <v>39.5</v>
      </c>
      <c r="AC39" s="43">
        <v>0</v>
      </c>
      <c r="AD39" s="43">
        <v>0</v>
      </c>
      <c r="AE39" s="43">
        <v>0</v>
      </c>
      <c r="AF39" s="17">
        <v>115.1</v>
      </c>
      <c r="AG39" s="17">
        <f t="shared" si="4"/>
        <v>-115.1</v>
      </c>
      <c r="AH39" s="38">
        <v>45859</v>
      </c>
      <c r="AI39" s="39">
        <v>0.55278935185185185</v>
      </c>
      <c r="AJ39" s="17" t="s">
        <v>45</v>
      </c>
      <c r="AK39" s="17">
        <v>133</v>
      </c>
      <c r="AL39" s="17">
        <f t="shared" si="8"/>
        <v>-133</v>
      </c>
      <c r="AM39" s="38">
        <v>45974</v>
      </c>
      <c r="AN39" s="39">
        <v>0.49791666666666662</v>
      </c>
      <c r="AO39" s="17" t="s">
        <v>69</v>
      </c>
      <c r="AP39" s="17"/>
      <c r="AQ39" s="17"/>
      <c r="AR39" s="17"/>
      <c r="AS39" s="17"/>
      <c r="AT39" s="17"/>
      <c r="AU39" s="17"/>
      <c r="AV39" s="17">
        <f t="shared" si="10"/>
        <v>0</v>
      </c>
      <c r="AW39" s="17"/>
      <c r="AX39" s="17"/>
      <c r="AY39" s="17"/>
      <c r="AZ39" s="26">
        <v>6915</v>
      </c>
    </row>
    <row r="40" spans="1:52" ht="14" customHeight="1" x14ac:dyDescent="0.15">
      <c r="A40" s="17" t="s">
        <v>530</v>
      </c>
      <c r="B40" s="32">
        <v>47.622619999999998</v>
      </c>
      <c r="C40" s="33" t="s">
        <v>168</v>
      </c>
      <c r="D40" s="17" t="s">
        <v>37</v>
      </c>
      <c r="E40" s="17" t="s">
        <v>252</v>
      </c>
      <c r="F40" s="17" t="s">
        <v>77</v>
      </c>
      <c r="G40" s="17" t="s">
        <v>169</v>
      </c>
      <c r="H40" s="17" t="s">
        <v>170</v>
      </c>
      <c r="I40" s="26" t="s">
        <v>37</v>
      </c>
      <c r="J40" s="46">
        <v>22224399</v>
      </c>
      <c r="K40" s="26" t="s">
        <v>418</v>
      </c>
      <c r="L40" s="17"/>
      <c r="M40" s="17">
        <v>128.19999999999999</v>
      </c>
      <c r="N40" s="26" t="s">
        <v>37</v>
      </c>
      <c r="O40" s="26" t="s">
        <v>37</v>
      </c>
      <c r="P40" s="26" t="s">
        <v>37</v>
      </c>
      <c r="Q40" s="17"/>
      <c r="R40" s="48" t="s">
        <v>171</v>
      </c>
      <c r="S40" s="34">
        <v>45974.416666666664</v>
      </c>
      <c r="T40" s="40"/>
      <c r="U40" s="40"/>
      <c r="V40" s="40"/>
      <c r="W40" s="40"/>
      <c r="X40" s="40"/>
      <c r="Y40" s="40"/>
      <c r="Z40" s="40"/>
      <c r="AA40" s="36">
        <v>27</v>
      </c>
      <c r="AB40" s="30">
        <v>27</v>
      </c>
      <c r="AC40" s="43">
        <v>0</v>
      </c>
      <c r="AD40" s="43">
        <v>0</v>
      </c>
      <c r="AE40" s="43">
        <v>0</v>
      </c>
      <c r="AF40" s="17">
        <v>46.8</v>
      </c>
      <c r="AG40" s="17">
        <f t="shared" si="4"/>
        <v>-46.8</v>
      </c>
      <c r="AH40" s="29">
        <v>45806</v>
      </c>
      <c r="AI40" s="31">
        <v>0.33334490740740735</v>
      </c>
      <c r="AJ40" s="26" t="s">
        <v>45</v>
      </c>
      <c r="AK40" s="17">
        <v>76.8</v>
      </c>
      <c r="AL40" s="17">
        <f t="shared" si="8"/>
        <v>-76.8</v>
      </c>
      <c r="AM40" s="38">
        <v>45859</v>
      </c>
      <c r="AN40" s="39">
        <v>0.47084490740740742</v>
      </c>
      <c r="AO40" s="17" t="s">
        <v>45</v>
      </c>
      <c r="AP40" s="17">
        <v>75</v>
      </c>
      <c r="AQ40" s="17">
        <f>AP40*-1</f>
        <v>-75</v>
      </c>
      <c r="AR40" s="38">
        <v>45974</v>
      </c>
      <c r="AS40" s="39">
        <v>0.45277777777777778</v>
      </c>
      <c r="AT40" s="17" t="s">
        <v>69</v>
      </c>
      <c r="AU40" s="17"/>
      <c r="AV40" s="17">
        <f t="shared" si="10"/>
        <v>0</v>
      </c>
      <c r="AW40" s="17"/>
      <c r="AX40" s="17"/>
      <c r="AY40" s="17"/>
      <c r="AZ40" s="26">
        <v>6915</v>
      </c>
    </row>
    <row r="41" spans="1:52" ht="14" customHeight="1" x14ac:dyDescent="0.2">
      <c r="A41" s="26" t="s">
        <v>551</v>
      </c>
      <c r="B41" s="28">
        <v>47.173349999999999</v>
      </c>
      <c r="C41" s="83" t="s">
        <v>40</v>
      </c>
      <c r="D41" s="17" t="s">
        <v>37</v>
      </c>
      <c r="E41" s="17" t="s">
        <v>252</v>
      </c>
      <c r="F41" s="17" t="s">
        <v>54</v>
      </c>
      <c r="G41" s="17" t="s">
        <v>41</v>
      </c>
      <c r="H41" s="17" t="s">
        <v>430</v>
      </c>
      <c r="I41" s="26" t="s">
        <v>37</v>
      </c>
      <c r="J41" s="45">
        <v>22224402</v>
      </c>
      <c r="K41" s="26" t="s">
        <v>418</v>
      </c>
      <c r="M41" s="26">
        <v>136.80000000000001</v>
      </c>
      <c r="N41" s="26" t="s">
        <v>37</v>
      </c>
      <c r="O41" s="26" t="s">
        <v>37</v>
      </c>
      <c r="P41" s="26" t="s">
        <v>37</v>
      </c>
      <c r="Q41" s="26" t="s">
        <v>444</v>
      </c>
      <c r="R41" s="47">
        <v>45864.500011574077</v>
      </c>
      <c r="S41" s="34">
        <v>45974.333333333336</v>
      </c>
      <c r="AA41" s="30">
        <v>67.2</v>
      </c>
      <c r="AB41" s="30">
        <v>67.2</v>
      </c>
      <c r="AC41" s="43">
        <v>0</v>
      </c>
      <c r="AD41" s="43">
        <v>0</v>
      </c>
      <c r="AE41" s="43">
        <v>0</v>
      </c>
      <c r="AF41" s="26">
        <v>80</v>
      </c>
      <c r="AG41" s="8">
        <f t="shared" si="4"/>
        <v>-80</v>
      </c>
      <c r="AH41" s="29">
        <v>45974</v>
      </c>
      <c r="AI41" s="31">
        <v>0.36249999999999999</v>
      </c>
      <c r="AJ41" s="26" t="s">
        <v>69</v>
      </c>
      <c r="AL41" s="17">
        <f t="shared" si="8"/>
        <v>0</v>
      </c>
      <c r="AQ41" s="17">
        <f>AP41*-1</f>
        <v>0</v>
      </c>
      <c r="AV41" s="17">
        <f t="shared" si="10"/>
        <v>0</v>
      </c>
      <c r="AZ41">
        <v>6128</v>
      </c>
    </row>
    <row r="42" spans="1:52" ht="14" customHeight="1" x14ac:dyDescent="0.15">
      <c r="A42" s="17" t="s">
        <v>555</v>
      </c>
      <c r="B42" s="32">
        <v>47.62283</v>
      </c>
      <c r="C42" s="33" t="s">
        <v>210</v>
      </c>
      <c r="D42" s="17" t="s">
        <v>37</v>
      </c>
      <c r="E42" s="17" t="s">
        <v>252</v>
      </c>
      <c r="F42" s="17" t="s">
        <v>77</v>
      </c>
      <c r="G42" s="17" t="s">
        <v>211</v>
      </c>
      <c r="H42" s="17" t="s">
        <v>136</v>
      </c>
      <c r="I42" s="26" t="s">
        <v>37</v>
      </c>
      <c r="J42" s="46">
        <v>22224409</v>
      </c>
      <c r="K42" s="26" t="s">
        <v>418</v>
      </c>
      <c r="L42" s="17"/>
      <c r="M42" s="17">
        <v>236.7</v>
      </c>
      <c r="N42" s="26" t="s">
        <v>37</v>
      </c>
      <c r="O42" s="26" t="s">
        <v>37</v>
      </c>
      <c r="P42" s="26" t="s">
        <v>37</v>
      </c>
      <c r="Q42" s="17"/>
      <c r="R42" s="48" t="s">
        <v>205</v>
      </c>
      <c r="S42" s="34">
        <v>45974.416666666664</v>
      </c>
      <c r="T42" s="40"/>
      <c r="U42" s="40"/>
      <c r="V42" s="40"/>
      <c r="W42" s="40"/>
      <c r="X42" s="40"/>
      <c r="Y42" s="40"/>
      <c r="Z42" s="40"/>
      <c r="AA42" s="36">
        <v>42.466666666666669</v>
      </c>
      <c r="AB42" s="30">
        <v>42.466666666666669</v>
      </c>
      <c r="AC42" s="43">
        <v>0</v>
      </c>
      <c r="AD42" s="43">
        <v>0</v>
      </c>
      <c r="AE42" s="43">
        <v>0</v>
      </c>
      <c r="AF42" s="17">
        <v>126</v>
      </c>
      <c r="AG42" s="17">
        <f t="shared" si="4"/>
        <v>-126</v>
      </c>
      <c r="AH42" s="38">
        <v>45859</v>
      </c>
      <c r="AI42" s="39">
        <v>0.46112268518518523</v>
      </c>
      <c r="AJ42" s="17" t="s">
        <v>212</v>
      </c>
      <c r="AK42" s="17">
        <v>110</v>
      </c>
      <c r="AL42" s="17">
        <f>AK42*+-1</f>
        <v>-110</v>
      </c>
      <c r="AM42" s="38">
        <v>45974</v>
      </c>
      <c r="AN42" s="39">
        <v>0.44930555555555557</v>
      </c>
      <c r="AO42" s="17" t="s">
        <v>69</v>
      </c>
      <c r="AP42" s="17"/>
      <c r="AQ42" s="17">
        <f>AP42*-1</f>
        <v>0</v>
      </c>
      <c r="AR42" s="17"/>
      <c r="AS42" s="17"/>
      <c r="AT42" s="17"/>
      <c r="AU42" s="17"/>
      <c r="AV42" s="17">
        <f t="shared" si="10"/>
        <v>0</v>
      </c>
      <c r="AW42" s="17"/>
      <c r="AX42" s="17"/>
      <c r="AY42" s="17"/>
      <c r="AZ42" s="26">
        <v>6915</v>
      </c>
    </row>
    <row r="43" spans="1:52" ht="14" customHeight="1" x14ac:dyDescent="0.15">
      <c r="A43" s="17" t="s">
        <v>552</v>
      </c>
      <c r="B43" s="32">
        <v>47.622700000000002</v>
      </c>
      <c r="C43" s="33" t="s">
        <v>238</v>
      </c>
      <c r="D43" s="17" t="s">
        <v>37</v>
      </c>
      <c r="E43" s="17" t="s">
        <v>252</v>
      </c>
      <c r="F43" s="17" t="s">
        <v>77</v>
      </c>
      <c r="G43" s="17" t="s">
        <v>239</v>
      </c>
      <c r="H43" s="17" t="s">
        <v>162</v>
      </c>
      <c r="I43" s="26" t="s">
        <v>37</v>
      </c>
      <c r="J43" s="46">
        <v>22224412</v>
      </c>
      <c r="K43" s="26" t="s">
        <v>418</v>
      </c>
      <c r="L43" s="17"/>
      <c r="M43" s="17">
        <v>142</v>
      </c>
      <c r="N43" s="26" t="s">
        <v>37</v>
      </c>
      <c r="O43" s="26" t="s">
        <v>37</v>
      </c>
      <c r="P43" s="26" t="s">
        <v>37</v>
      </c>
      <c r="Q43" s="17"/>
      <c r="R43" s="48">
        <v>45787.416678240741</v>
      </c>
      <c r="S43" s="34">
        <v>45974.458344907405</v>
      </c>
      <c r="T43" s="35"/>
      <c r="U43" s="35"/>
      <c r="V43" s="35"/>
      <c r="W43" s="35"/>
      <c r="X43" s="35"/>
      <c r="Y43" s="35"/>
      <c r="Z43" s="35"/>
      <c r="AA43" s="36">
        <v>29.5</v>
      </c>
      <c r="AB43" s="36">
        <v>29.5</v>
      </c>
      <c r="AC43" s="44">
        <v>0</v>
      </c>
      <c r="AD43" s="44">
        <v>0</v>
      </c>
      <c r="AE43" s="44">
        <v>0</v>
      </c>
      <c r="AF43" s="17">
        <v>68</v>
      </c>
      <c r="AG43" s="17">
        <f t="shared" si="4"/>
        <v>-68</v>
      </c>
      <c r="AH43" s="38">
        <v>45789</v>
      </c>
      <c r="AI43" s="39">
        <v>0.58334490740740741</v>
      </c>
      <c r="AJ43" s="17" t="s">
        <v>63</v>
      </c>
      <c r="AK43" s="17">
        <v>52.5</v>
      </c>
      <c r="AL43" s="17">
        <f>AK43*-1</f>
        <v>-52.5</v>
      </c>
      <c r="AM43" s="38">
        <v>45859</v>
      </c>
      <c r="AN43" s="39">
        <v>0.5173726851851852</v>
      </c>
      <c r="AO43" s="17" t="s">
        <v>69</v>
      </c>
      <c r="AP43" s="17">
        <v>44</v>
      </c>
      <c r="AQ43" s="17">
        <f>AP43*-1</f>
        <v>-44</v>
      </c>
      <c r="AR43" s="38">
        <v>45974</v>
      </c>
      <c r="AS43" s="39">
        <v>0.48958333333333331</v>
      </c>
      <c r="AT43" s="17" t="s">
        <v>69</v>
      </c>
      <c r="AU43" s="17"/>
      <c r="AV43" s="17">
        <f t="shared" si="10"/>
        <v>0</v>
      </c>
      <c r="AW43" s="17"/>
      <c r="AX43" s="17"/>
      <c r="AY43" s="17"/>
      <c r="AZ43" s="26">
        <v>6915</v>
      </c>
    </row>
    <row r="44" spans="1:52" ht="14" customHeight="1" x14ac:dyDescent="0.15">
      <c r="A44" s="17" t="s">
        <v>548</v>
      </c>
      <c r="B44" s="32">
        <f>47.62243</f>
        <v>47.622430000000001</v>
      </c>
      <c r="C44" s="33" t="s">
        <v>160</v>
      </c>
      <c r="D44" s="17" t="s">
        <v>37</v>
      </c>
      <c r="E44" s="17" t="s">
        <v>252</v>
      </c>
      <c r="F44" s="17" t="s">
        <v>77</v>
      </c>
      <c r="G44" s="17" t="s">
        <v>161</v>
      </c>
      <c r="H44" s="17" t="s">
        <v>162</v>
      </c>
      <c r="I44" s="26" t="s">
        <v>37</v>
      </c>
      <c r="J44" s="46">
        <v>22224414</v>
      </c>
      <c r="K44" s="26" t="s">
        <v>418</v>
      </c>
      <c r="L44" s="17"/>
      <c r="M44" s="17">
        <v>134.5</v>
      </c>
      <c r="N44" s="26" t="s">
        <v>37</v>
      </c>
      <c r="O44" s="26" t="s">
        <v>37</v>
      </c>
      <c r="P44" s="26" t="s">
        <v>37</v>
      </c>
      <c r="Q44" s="17"/>
      <c r="R44" s="48" t="s">
        <v>159</v>
      </c>
      <c r="S44" s="34">
        <v>45974.458333333336</v>
      </c>
      <c r="T44" s="40"/>
      <c r="U44" s="40"/>
      <c r="V44" s="40"/>
      <c r="W44" s="40"/>
      <c r="X44" s="40"/>
      <c r="Y44" s="40"/>
      <c r="Z44" s="40"/>
      <c r="AA44" s="36">
        <v>25.633333333333333</v>
      </c>
      <c r="AB44" s="30">
        <v>25.633333333333333</v>
      </c>
      <c r="AC44" s="43">
        <v>0</v>
      </c>
      <c r="AD44" s="43">
        <v>0</v>
      </c>
      <c r="AE44" s="43">
        <v>0</v>
      </c>
      <c r="AF44" s="17">
        <v>52.5</v>
      </c>
      <c r="AG44" s="17">
        <f t="shared" si="4"/>
        <v>-52.5</v>
      </c>
      <c r="AH44" s="29">
        <v>45806</v>
      </c>
      <c r="AI44" s="31">
        <v>0.37501157407407404</v>
      </c>
      <c r="AJ44" s="26" t="s">
        <v>45</v>
      </c>
      <c r="AK44" s="17">
        <v>100.9</v>
      </c>
      <c r="AL44" s="17">
        <f>AK44*-1</f>
        <v>-100.9</v>
      </c>
      <c r="AM44" s="38">
        <v>45859</v>
      </c>
      <c r="AN44" s="39">
        <v>0.52709490740740739</v>
      </c>
      <c r="AO44" s="17" t="s">
        <v>45</v>
      </c>
      <c r="AP44" s="17">
        <v>94</v>
      </c>
      <c r="AQ44" s="17">
        <f>AP44*-1</f>
        <v>-94</v>
      </c>
      <c r="AR44" s="38">
        <v>45974</v>
      </c>
      <c r="AS44" s="39">
        <v>0.48055555555555557</v>
      </c>
      <c r="AT44" s="17" t="s">
        <v>69</v>
      </c>
      <c r="AU44" s="17"/>
      <c r="AV44" s="17">
        <f t="shared" si="10"/>
        <v>0</v>
      </c>
      <c r="AW44" s="17"/>
      <c r="AX44" s="17"/>
      <c r="AY44" s="17"/>
      <c r="AZ44" s="26">
        <v>6915</v>
      </c>
    </row>
    <row r="45" spans="1:52" ht="14" customHeight="1" x14ac:dyDescent="0.2">
      <c r="A45" s="8" t="s">
        <v>482</v>
      </c>
      <c r="B45" s="8">
        <v>46.705829999999999</v>
      </c>
      <c r="C45" s="8">
        <v>-71.063760000000002</v>
      </c>
      <c r="D45" s="8" t="s">
        <v>256</v>
      </c>
      <c r="E45" s="17" t="s">
        <v>484</v>
      </c>
      <c r="F45" s="8" t="s">
        <v>253</v>
      </c>
      <c r="G45" t="s">
        <v>415</v>
      </c>
      <c r="H45" s="8" t="s">
        <v>260</v>
      </c>
      <c r="I45" s="8"/>
      <c r="J45" s="56">
        <v>41378</v>
      </c>
      <c r="K45" s="8" t="s">
        <v>255</v>
      </c>
      <c r="L45" s="8">
        <v>80</v>
      </c>
      <c r="M45" s="8">
        <v>80</v>
      </c>
      <c r="N45" s="8">
        <v>1</v>
      </c>
      <c r="O45" s="8">
        <v>-800</v>
      </c>
      <c r="P45" s="8">
        <v>1787</v>
      </c>
      <c r="Q45" s="8" t="s">
        <v>481</v>
      </c>
      <c r="R45" s="57">
        <v>45780.708333333336</v>
      </c>
      <c r="S45" s="57">
        <v>45988.458344907405</v>
      </c>
      <c r="T45" s="8"/>
      <c r="U45" s="8"/>
      <c r="V45" s="8"/>
      <c r="W45" s="8"/>
      <c r="X45" s="8"/>
      <c r="Y45" s="8"/>
      <c r="Z45" s="8"/>
      <c r="AA45" s="97">
        <v>27.2</v>
      </c>
      <c r="AB45" s="97">
        <v>27.2</v>
      </c>
      <c r="AC45" s="98">
        <v>0</v>
      </c>
      <c r="AD45" s="98">
        <v>0</v>
      </c>
      <c r="AE45" s="98">
        <v>0</v>
      </c>
      <c r="AF45" s="66">
        <v>21.5</v>
      </c>
      <c r="AG45" s="66">
        <f t="shared" ref="AG45:AG68" si="11">AF45*-1</f>
        <v>-21.5</v>
      </c>
      <c r="AH45" s="99">
        <v>45868</v>
      </c>
      <c r="AI45" s="100">
        <v>0.62015046296296295</v>
      </c>
      <c r="AJ45" s="66" t="s">
        <v>63</v>
      </c>
      <c r="AK45" s="66">
        <v>47</v>
      </c>
      <c r="AL45" s="66">
        <f t="shared" ref="AL45:AL79" si="12">AK45*-1</f>
        <v>-47</v>
      </c>
      <c r="AM45" s="101">
        <v>45918</v>
      </c>
      <c r="AN45" s="100">
        <v>0.63541666666666663</v>
      </c>
      <c r="AO45" s="8" t="s">
        <v>69</v>
      </c>
      <c r="AP45" s="8">
        <v>18.5</v>
      </c>
      <c r="AQ45" s="8">
        <f t="shared" ref="AQ45:AQ52" si="13">AP45*-1</f>
        <v>-18.5</v>
      </c>
      <c r="AR45" s="59">
        <v>45988</v>
      </c>
      <c r="AS45" s="60">
        <v>0.45833333333333331</v>
      </c>
      <c r="AT45" s="8" t="s">
        <v>69</v>
      </c>
      <c r="AU45" s="66">
        <v>29.75</v>
      </c>
      <c r="AV45" s="66">
        <f t="shared" ref="AV45:AV62" si="14">AU45*-1</f>
        <v>-29.75</v>
      </c>
      <c r="AW45" s="99">
        <v>45946</v>
      </c>
      <c r="AX45" s="100">
        <v>0.51041666666666663</v>
      </c>
      <c r="AY45" s="66" t="s">
        <v>69</v>
      </c>
      <c r="AZ45" t="s">
        <v>37</v>
      </c>
    </row>
    <row r="46" spans="1:52" ht="14" customHeight="1" x14ac:dyDescent="0.2">
      <c r="A46" s="8" t="s">
        <v>482</v>
      </c>
      <c r="B46" s="8">
        <v>46.705829999999999</v>
      </c>
      <c r="C46" s="8">
        <v>-71.063760000000002</v>
      </c>
      <c r="D46" s="8" t="s">
        <v>256</v>
      </c>
      <c r="E46" s="17" t="s">
        <v>484</v>
      </c>
      <c r="F46" s="8" t="s">
        <v>253</v>
      </c>
      <c r="G46" t="s">
        <v>415</v>
      </c>
      <c r="H46" s="8" t="s">
        <v>260</v>
      </c>
      <c r="I46" s="8"/>
      <c r="J46" s="56">
        <v>41378</v>
      </c>
      <c r="K46" s="8" t="s">
        <v>255</v>
      </c>
      <c r="L46" s="8">
        <v>20</v>
      </c>
      <c r="M46" s="8">
        <v>80</v>
      </c>
      <c r="N46" s="8">
        <v>2</v>
      </c>
      <c r="O46" s="8">
        <v>-200</v>
      </c>
      <c r="P46" s="8">
        <v>3056</v>
      </c>
      <c r="Q46" s="8" t="s">
        <v>458</v>
      </c>
      <c r="R46" s="57">
        <v>45780.708333333336</v>
      </c>
      <c r="S46" s="57">
        <v>45988.458344907405</v>
      </c>
      <c r="T46" s="8"/>
      <c r="U46" s="8"/>
      <c r="V46" s="8"/>
      <c r="W46" s="8"/>
      <c r="X46" s="8"/>
      <c r="Y46" s="8"/>
      <c r="Z46" s="8"/>
      <c r="AA46" s="97">
        <v>27.2</v>
      </c>
      <c r="AB46" s="97">
        <v>27.2</v>
      </c>
      <c r="AC46" s="98">
        <v>0</v>
      </c>
      <c r="AD46" s="98">
        <v>0</v>
      </c>
      <c r="AE46" s="98">
        <v>0</v>
      </c>
      <c r="AF46" s="66">
        <v>21.5</v>
      </c>
      <c r="AG46" s="66">
        <f t="shared" si="11"/>
        <v>-21.5</v>
      </c>
      <c r="AH46" s="99">
        <v>45868</v>
      </c>
      <c r="AI46" s="100">
        <v>0.62015046296296295</v>
      </c>
      <c r="AJ46" s="66" t="s">
        <v>63</v>
      </c>
      <c r="AK46" s="66">
        <v>47</v>
      </c>
      <c r="AL46" s="66">
        <f t="shared" si="12"/>
        <v>-47</v>
      </c>
      <c r="AM46" s="101">
        <v>45918</v>
      </c>
      <c r="AN46" s="100">
        <v>0.63541666666666663</v>
      </c>
      <c r="AO46" s="8" t="s">
        <v>69</v>
      </c>
      <c r="AP46" s="8">
        <v>18.5</v>
      </c>
      <c r="AQ46" s="8">
        <f t="shared" si="13"/>
        <v>-18.5</v>
      </c>
      <c r="AR46" s="59">
        <v>45988</v>
      </c>
      <c r="AS46" s="60">
        <v>0.45833333333333331</v>
      </c>
      <c r="AT46" s="8" t="s">
        <v>69</v>
      </c>
      <c r="AU46" s="66">
        <v>29.75</v>
      </c>
      <c r="AV46" s="66">
        <f t="shared" si="14"/>
        <v>-29.75</v>
      </c>
      <c r="AW46" s="99">
        <v>45946</v>
      </c>
      <c r="AX46" s="100">
        <v>0.51041666666666663</v>
      </c>
      <c r="AY46" s="66" t="s">
        <v>69</v>
      </c>
      <c r="AZ46" t="s">
        <v>37</v>
      </c>
    </row>
    <row r="47" spans="1:52" s="17" customFormat="1" ht="14" customHeight="1" x14ac:dyDescent="0.2">
      <c r="A47" s="8" t="s">
        <v>482</v>
      </c>
      <c r="B47" s="8">
        <v>46.705829999999999</v>
      </c>
      <c r="C47" s="8">
        <v>-71.063760000000002</v>
      </c>
      <c r="D47" s="8" t="s">
        <v>257</v>
      </c>
      <c r="E47" s="17" t="s">
        <v>484</v>
      </c>
      <c r="F47" s="8" t="s">
        <v>253</v>
      </c>
      <c r="G47" t="s">
        <v>415</v>
      </c>
      <c r="H47" s="8" t="s">
        <v>260</v>
      </c>
      <c r="I47" s="8"/>
      <c r="J47" s="56">
        <v>41378</v>
      </c>
      <c r="K47" s="8" t="s">
        <v>255</v>
      </c>
      <c r="L47" s="8"/>
      <c r="M47" s="8">
        <v>80</v>
      </c>
      <c r="N47" s="8" t="s">
        <v>37</v>
      </c>
      <c r="O47" s="8" t="s">
        <v>37</v>
      </c>
      <c r="P47" s="8"/>
      <c r="Q47" s="8" t="s">
        <v>459</v>
      </c>
      <c r="R47" s="57">
        <v>45780.708333333336</v>
      </c>
      <c r="S47" s="57">
        <v>45988.458344907405</v>
      </c>
      <c r="T47" s="8"/>
      <c r="U47" s="8"/>
      <c r="V47" s="8"/>
      <c r="W47" s="8"/>
      <c r="X47" s="8"/>
      <c r="Y47" s="8"/>
      <c r="Z47" s="8"/>
      <c r="AA47" s="97">
        <v>27.2</v>
      </c>
      <c r="AB47" s="97">
        <v>27.2</v>
      </c>
      <c r="AC47" s="98">
        <v>0</v>
      </c>
      <c r="AD47" s="98">
        <v>0</v>
      </c>
      <c r="AE47" s="98">
        <v>0</v>
      </c>
      <c r="AF47" s="66">
        <v>21.5</v>
      </c>
      <c r="AG47" s="66">
        <f t="shared" si="11"/>
        <v>-21.5</v>
      </c>
      <c r="AH47" s="99">
        <v>45868</v>
      </c>
      <c r="AI47" s="100">
        <v>0.62015046296296295</v>
      </c>
      <c r="AJ47" s="66" t="s">
        <v>63</v>
      </c>
      <c r="AK47" s="66">
        <v>47</v>
      </c>
      <c r="AL47" s="66">
        <f t="shared" si="12"/>
        <v>-47</v>
      </c>
      <c r="AM47" s="101">
        <v>45918</v>
      </c>
      <c r="AN47" s="100">
        <v>0.63541666666666663</v>
      </c>
      <c r="AO47" s="8" t="s">
        <v>69</v>
      </c>
      <c r="AP47" s="8">
        <v>18.5</v>
      </c>
      <c r="AQ47" s="8">
        <f t="shared" si="13"/>
        <v>-18.5</v>
      </c>
      <c r="AR47" s="59">
        <v>45988</v>
      </c>
      <c r="AS47" s="60">
        <v>0.45833333333333331</v>
      </c>
      <c r="AT47" s="8" t="s">
        <v>69</v>
      </c>
      <c r="AU47" s="66">
        <v>29.75</v>
      </c>
      <c r="AV47" s="66">
        <f t="shared" si="14"/>
        <v>-29.75</v>
      </c>
      <c r="AW47" s="99">
        <v>45946</v>
      </c>
      <c r="AX47" s="100">
        <v>0.51041666666666663</v>
      </c>
      <c r="AY47" s="66" t="s">
        <v>69</v>
      </c>
      <c r="AZ47" t="s">
        <v>37</v>
      </c>
    </row>
    <row r="48" spans="1:52" ht="14" customHeight="1" x14ac:dyDescent="0.15">
      <c r="A48" s="17" t="s">
        <v>489</v>
      </c>
      <c r="B48" s="32">
        <v>47.62677</v>
      </c>
      <c r="C48" s="33" t="s">
        <v>232</v>
      </c>
      <c r="D48" s="17" t="s">
        <v>37</v>
      </c>
      <c r="E48" s="81" t="s">
        <v>516</v>
      </c>
      <c r="F48" s="87" t="s">
        <v>77</v>
      </c>
      <c r="G48" s="37" t="s">
        <v>233</v>
      </c>
      <c r="H48" s="26" t="s">
        <v>226</v>
      </c>
      <c r="I48" s="26" t="s">
        <v>37</v>
      </c>
      <c r="J48" s="45">
        <v>22220783</v>
      </c>
      <c r="K48" s="26" t="s">
        <v>418</v>
      </c>
      <c r="M48" s="26">
        <v>131.19999999999999</v>
      </c>
      <c r="N48" s="26" t="s">
        <v>37</v>
      </c>
      <c r="O48" s="26" t="s">
        <v>37</v>
      </c>
      <c r="P48" s="26" t="s">
        <v>37</v>
      </c>
      <c r="Q48" s="26" t="s">
        <v>496</v>
      </c>
      <c r="R48" s="48" t="s">
        <v>228</v>
      </c>
      <c r="S48" s="48">
        <v>45974.541678240741</v>
      </c>
      <c r="AA48" s="30">
        <v>20.766666666666669</v>
      </c>
      <c r="AB48" s="96">
        <v>20.766666666666669</v>
      </c>
      <c r="AC48" s="44">
        <v>0</v>
      </c>
      <c r="AD48" s="44">
        <v>0</v>
      </c>
      <c r="AE48" s="44">
        <v>0</v>
      </c>
      <c r="AF48" s="17">
        <v>110.2</v>
      </c>
      <c r="AG48" s="17">
        <f t="shared" si="11"/>
        <v>-110.2</v>
      </c>
      <c r="AH48" s="29">
        <v>45859</v>
      </c>
      <c r="AI48" s="31">
        <v>0.60417824074074067</v>
      </c>
      <c r="AJ48" s="17" t="s">
        <v>212</v>
      </c>
      <c r="AK48" s="26">
        <v>86.75</v>
      </c>
      <c r="AL48" s="17">
        <f t="shared" si="12"/>
        <v>-86.75</v>
      </c>
      <c r="AM48" s="38">
        <v>45974</v>
      </c>
      <c r="AN48" s="39">
        <v>0.54652777777777783</v>
      </c>
      <c r="AO48" s="17" t="s">
        <v>69</v>
      </c>
      <c r="AQ48" s="17">
        <f t="shared" si="13"/>
        <v>0</v>
      </c>
      <c r="AV48" s="17">
        <f t="shared" si="14"/>
        <v>0</v>
      </c>
      <c r="AZ48" s="26">
        <v>6915</v>
      </c>
    </row>
    <row r="49" spans="1:52" ht="15" customHeight="1" x14ac:dyDescent="0.2">
      <c r="A49" s="8" t="s">
        <v>523</v>
      </c>
      <c r="B49" s="8">
        <v>46.706090000000003</v>
      </c>
      <c r="C49" s="8">
        <v>-71.064189999999996</v>
      </c>
      <c r="D49" s="8" t="s">
        <v>256</v>
      </c>
      <c r="E49" s="26" t="s">
        <v>252</v>
      </c>
      <c r="F49" s="8" t="s">
        <v>253</v>
      </c>
      <c r="G49" s="8" t="s">
        <v>399</v>
      </c>
      <c r="H49" s="8" t="s">
        <v>251</v>
      </c>
      <c r="I49" s="8"/>
      <c r="J49" s="56">
        <v>41359</v>
      </c>
      <c r="K49" s="8" t="s">
        <v>255</v>
      </c>
      <c r="L49" s="8">
        <v>80</v>
      </c>
      <c r="M49" s="8">
        <v>80</v>
      </c>
      <c r="N49" s="8">
        <v>1</v>
      </c>
      <c r="O49" s="8">
        <v>-800</v>
      </c>
      <c r="P49" s="8">
        <v>1726</v>
      </c>
      <c r="Q49" s="8"/>
      <c r="R49" s="57">
        <v>45780.708333333336</v>
      </c>
      <c r="S49" s="57">
        <v>45988.416678240741</v>
      </c>
      <c r="T49" s="8"/>
      <c r="U49" s="8"/>
      <c r="V49" s="8"/>
      <c r="W49" s="8"/>
      <c r="X49" s="8"/>
      <c r="Y49" s="8"/>
      <c r="Z49" s="8"/>
      <c r="AA49" s="58">
        <v>16.833333333333332</v>
      </c>
      <c r="AB49" s="58">
        <v>16.833333333333332</v>
      </c>
      <c r="AC49" s="42">
        <v>0</v>
      </c>
      <c r="AD49" s="42">
        <v>0</v>
      </c>
      <c r="AE49" s="42">
        <v>0</v>
      </c>
      <c r="AF49" s="8">
        <v>38</v>
      </c>
      <c r="AG49" s="8">
        <f t="shared" si="11"/>
        <v>-38</v>
      </c>
      <c r="AH49" s="59">
        <v>45868</v>
      </c>
      <c r="AI49" s="60">
        <v>0.57570601851851855</v>
      </c>
      <c r="AJ49" s="8" t="s">
        <v>63</v>
      </c>
      <c r="AK49" s="8">
        <v>67.5</v>
      </c>
      <c r="AL49" s="8">
        <f t="shared" si="12"/>
        <v>-67.5</v>
      </c>
      <c r="AM49" s="29">
        <v>45918</v>
      </c>
      <c r="AN49" s="60">
        <v>0.63541666666666663</v>
      </c>
      <c r="AO49" s="8" t="s">
        <v>69</v>
      </c>
      <c r="AP49" s="8">
        <v>67.75</v>
      </c>
      <c r="AQ49" s="8">
        <f t="shared" si="13"/>
        <v>-67.75</v>
      </c>
      <c r="AR49" s="59">
        <v>45946</v>
      </c>
      <c r="AS49" s="60">
        <v>0.48125000000000001</v>
      </c>
      <c r="AT49" s="8" t="s">
        <v>69</v>
      </c>
      <c r="AU49" s="8">
        <v>23.75</v>
      </c>
      <c r="AV49" s="8">
        <f t="shared" si="14"/>
        <v>-23.75</v>
      </c>
      <c r="AW49" s="59">
        <v>45988</v>
      </c>
      <c r="AX49" s="60">
        <v>0.43402777777777779</v>
      </c>
      <c r="AY49" s="8" t="s">
        <v>69</v>
      </c>
      <c r="AZ49" s="8" t="s">
        <v>37</v>
      </c>
    </row>
    <row r="50" spans="1:52" s="17" customFormat="1" ht="15" customHeight="1" x14ac:dyDescent="0.2">
      <c r="A50" s="8" t="s">
        <v>523</v>
      </c>
      <c r="B50" s="8">
        <v>46.706090000000003</v>
      </c>
      <c r="C50" s="8">
        <v>-71.064189999999996</v>
      </c>
      <c r="D50" s="8" t="s">
        <v>256</v>
      </c>
      <c r="E50" s="26" t="s">
        <v>252</v>
      </c>
      <c r="F50" s="8" t="s">
        <v>253</v>
      </c>
      <c r="G50" s="8" t="s">
        <v>399</v>
      </c>
      <c r="H50" s="8" t="s">
        <v>251</v>
      </c>
      <c r="I50" s="8"/>
      <c r="J50" s="56">
        <v>41359</v>
      </c>
      <c r="K50" s="8" t="s">
        <v>255</v>
      </c>
      <c r="L50" s="8">
        <v>20</v>
      </c>
      <c r="M50" s="8">
        <v>80</v>
      </c>
      <c r="N50" s="8">
        <v>2</v>
      </c>
      <c r="O50" s="8">
        <v>-200</v>
      </c>
      <c r="P50" s="8">
        <v>2963</v>
      </c>
      <c r="Q50" s="8"/>
      <c r="R50" s="57">
        <v>45780.708333333336</v>
      </c>
      <c r="S50" s="57">
        <v>45988.416678240741</v>
      </c>
      <c r="T50" s="8"/>
      <c r="U50" s="8"/>
      <c r="V50" s="8"/>
      <c r="W50" s="8"/>
      <c r="X50" s="8"/>
      <c r="Y50" s="8"/>
      <c r="Z50" s="8"/>
      <c r="AA50" s="58">
        <v>16.833333333333332</v>
      </c>
      <c r="AB50" s="58">
        <v>16.833333333333332</v>
      </c>
      <c r="AC50" s="42">
        <v>0</v>
      </c>
      <c r="AD50" s="42">
        <v>0</v>
      </c>
      <c r="AE50" s="42">
        <v>0</v>
      </c>
      <c r="AF50" s="8">
        <v>38</v>
      </c>
      <c r="AG50" s="8">
        <f t="shared" si="11"/>
        <v>-38</v>
      </c>
      <c r="AH50" s="59">
        <v>45868</v>
      </c>
      <c r="AI50" s="60">
        <v>0.57570601851851855</v>
      </c>
      <c r="AJ50" s="8" t="s">
        <v>63</v>
      </c>
      <c r="AK50" s="8">
        <v>67.5</v>
      </c>
      <c r="AL50" s="8">
        <f t="shared" si="12"/>
        <v>-67.5</v>
      </c>
      <c r="AM50" s="29">
        <v>45918</v>
      </c>
      <c r="AN50" s="60">
        <v>0.63541666666666663</v>
      </c>
      <c r="AO50" s="8" t="s">
        <v>69</v>
      </c>
      <c r="AP50" s="8">
        <v>67.75</v>
      </c>
      <c r="AQ50" s="8">
        <f t="shared" si="13"/>
        <v>-67.75</v>
      </c>
      <c r="AR50" s="59">
        <v>45946</v>
      </c>
      <c r="AS50" s="60">
        <v>0.48125000000000001</v>
      </c>
      <c r="AT50" s="8" t="s">
        <v>69</v>
      </c>
      <c r="AU50" s="8">
        <v>23.75</v>
      </c>
      <c r="AV50" s="8">
        <f t="shared" si="14"/>
        <v>-23.75</v>
      </c>
      <c r="AW50" s="59">
        <v>45988</v>
      </c>
      <c r="AX50" s="60">
        <v>0.43402777777777779</v>
      </c>
      <c r="AY50" s="8" t="s">
        <v>69</v>
      </c>
      <c r="AZ50" s="8" t="s">
        <v>37</v>
      </c>
    </row>
    <row r="51" spans="1:52" ht="16" customHeight="1" x14ac:dyDescent="0.2">
      <c r="A51" s="8" t="s">
        <v>523</v>
      </c>
      <c r="B51" s="8">
        <v>46.706090000000003</v>
      </c>
      <c r="C51" s="8">
        <v>-71.064189999999996</v>
      </c>
      <c r="D51" s="8" t="s">
        <v>257</v>
      </c>
      <c r="E51" s="26" t="s">
        <v>252</v>
      </c>
      <c r="F51" s="8" t="s">
        <v>253</v>
      </c>
      <c r="G51" s="8" t="s">
        <v>399</v>
      </c>
      <c r="H51" s="8" t="s">
        <v>251</v>
      </c>
      <c r="I51" s="8"/>
      <c r="J51" s="56">
        <v>41359</v>
      </c>
      <c r="K51" s="8" t="s">
        <v>255</v>
      </c>
      <c r="L51" s="8"/>
      <c r="M51" s="8">
        <v>80</v>
      </c>
      <c r="N51" s="8" t="s">
        <v>37</v>
      </c>
      <c r="O51" s="8" t="s">
        <v>37</v>
      </c>
      <c r="P51" s="8"/>
      <c r="Q51" s="8"/>
      <c r="R51" s="57">
        <v>45780.708333333336</v>
      </c>
      <c r="S51" s="57">
        <v>45988.416678240741</v>
      </c>
      <c r="T51" s="8"/>
      <c r="U51" s="8"/>
      <c r="V51" s="8"/>
      <c r="W51" s="8"/>
      <c r="X51" s="8"/>
      <c r="Y51" s="8"/>
      <c r="Z51" s="8"/>
      <c r="AA51" s="58">
        <v>16.833333333333332</v>
      </c>
      <c r="AB51" s="58">
        <v>16.833333333333332</v>
      </c>
      <c r="AC51" s="42">
        <v>0</v>
      </c>
      <c r="AD51" s="42">
        <v>0</v>
      </c>
      <c r="AE51" s="42">
        <v>0</v>
      </c>
      <c r="AF51" s="8">
        <v>38</v>
      </c>
      <c r="AG51" s="8">
        <f t="shared" si="11"/>
        <v>-38</v>
      </c>
      <c r="AH51" s="59">
        <v>45868</v>
      </c>
      <c r="AI51" s="60">
        <v>0.57570601851851855</v>
      </c>
      <c r="AJ51" s="8" t="s">
        <v>63</v>
      </c>
      <c r="AK51" s="8">
        <v>67.5</v>
      </c>
      <c r="AL51" s="8">
        <f t="shared" si="12"/>
        <v>-67.5</v>
      </c>
      <c r="AM51" s="29">
        <v>45918</v>
      </c>
      <c r="AN51" s="60">
        <v>0.63541666666666663</v>
      </c>
      <c r="AO51" s="8" t="s">
        <v>69</v>
      </c>
      <c r="AP51" s="8">
        <v>67.75</v>
      </c>
      <c r="AQ51" s="8">
        <f t="shared" si="13"/>
        <v>-67.75</v>
      </c>
      <c r="AR51" s="59">
        <v>45946</v>
      </c>
      <c r="AS51" s="60">
        <v>0.48125000000000001</v>
      </c>
      <c r="AT51" s="8" t="s">
        <v>69</v>
      </c>
      <c r="AU51" s="8">
        <v>23.75</v>
      </c>
      <c r="AV51" s="8">
        <f t="shared" si="14"/>
        <v>-23.75</v>
      </c>
      <c r="AW51" s="59">
        <v>45988</v>
      </c>
      <c r="AX51" s="60">
        <v>0.43402777777777779</v>
      </c>
      <c r="AY51" s="8" t="s">
        <v>69</v>
      </c>
      <c r="AZ51" s="8" t="s">
        <v>37</v>
      </c>
    </row>
    <row r="52" spans="1:52" s="17" customFormat="1" ht="14" customHeight="1" x14ac:dyDescent="0.2">
      <c r="A52" s="8" t="s">
        <v>521</v>
      </c>
      <c r="B52" s="61">
        <v>46.706119999999999</v>
      </c>
      <c r="C52" s="8">
        <v>-71.064130000000006</v>
      </c>
      <c r="D52" s="8" t="s">
        <v>256</v>
      </c>
      <c r="E52" s="26" t="s">
        <v>252</v>
      </c>
      <c r="F52" s="8" t="s">
        <v>253</v>
      </c>
      <c r="G52" s="8" t="s">
        <v>411</v>
      </c>
      <c r="H52" s="8" t="s">
        <v>251</v>
      </c>
      <c r="I52" s="8"/>
      <c r="J52" s="56">
        <v>41370</v>
      </c>
      <c r="K52" s="8" t="s">
        <v>255</v>
      </c>
      <c r="L52" s="8">
        <v>80</v>
      </c>
      <c r="M52" s="8">
        <v>80</v>
      </c>
      <c r="N52" s="8">
        <v>1</v>
      </c>
      <c r="O52" s="8">
        <v>-800</v>
      </c>
      <c r="P52" s="8">
        <v>1630</v>
      </c>
      <c r="Q52" s="8" t="s">
        <v>401</v>
      </c>
      <c r="R52" s="57">
        <v>45780.708333333336</v>
      </c>
      <c r="S52" s="57">
        <v>45988.416678240741</v>
      </c>
      <c r="T52" s="8"/>
      <c r="U52" s="8"/>
      <c r="V52" s="8"/>
      <c r="W52" s="8"/>
      <c r="X52" s="8"/>
      <c r="Y52" s="8"/>
      <c r="Z52" s="8"/>
      <c r="AA52" s="58">
        <v>28.566666666666666</v>
      </c>
      <c r="AB52" s="58">
        <v>28.566666666666666</v>
      </c>
      <c r="AC52" s="42">
        <v>0</v>
      </c>
      <c r="AD52" s="42">
        <v>0</v>
      </c>
      <c r="AE52" s="42">
        <v>0</v>
      </c>
      <c r="AF52" s="8">
        <v>34.799999999999997</v>
      </c>
      <c r="AG52" s="8">
        <f t="shared" si="11"/>
        <v>-34.799999999999997</v>
      </c>
      <c r="AH52" s="59">
        <v>45868</v>
      </c>
      <c r="AI52" s="60">
        <v>0.57223379629629634</v>
      </c>
      <c r="AJ52" s="8" t="s">
        <v>63</v>
      </c>
      <c r="AK52" s="8">
        <v>42</v>
      </c>
      <c r="AL52" s="8">
        <f t="shared" si="12"/>
        <v>-42</v>
      </c>
      <c r="AM52" s="59">
        <v>45946</v>
      </c>
      <c r="AN52" s="60">
        <v>0.47916666666666669</v>
      </c>
      <c r="AO52" s="8" t="s">
        <v>69</v>
      </c>
      <c r="AP52" s="8">
        <v>27.5</v>
      </c>
      <c r="AQ52" s="8">
        <f t="shared" si="13"/>
        <v>-27.5</v>
      </c>
      <c r="AR52" s="59">
        <v>45988</v>
      </c>
      <c r="AS52" s="60">
        <v>0.4284722222222222</v>
      </c>
      <c r="AT52" s="8" t="s">
        <v>69</v>
      </c>
      <c r="AU52" s="8"/>
      <c r="AV52" s="8">
        <f t="shared" si="14"/>
        <v>0</v>
      </c>
      <c r="AW52" s="8"/>
      <c r="AX52" s="8"/>
      <c r="AY52" s="8"/>
      <c r="AZ52" s="8" t="s">
        <v>37</v>
      </c>
    </row>
    <row r="53" spans="1:52" ht="14" customHeight="1" x14ac:dyDescent="0.2">
      <c r="A53" s="8" t="s">
        <v>521</v>
      </c>
      <c r="B53" s="61">
        <v>46.706119999999999</v>
      </c>
      <c r="C53" s="8">
        <v>-71.064130000000006</v>
      </c>
      <c r="D53" s="8" t="s">
        <v>256</v>
      </c>
      <c r="E53" s="26" t="s">
        <v>252</v>
      </c>
      <c r="F53" s="8" t="s">
        <v>253</v>
      </c>
      <c r="G53" s="8" t="s">
        <v>411</v>
      </c>
      <c r="H53" s="8" t="s">
        <v>251</v>
      </c>
      <c r="I53" s="8"/>
      <c r="J53" s="56">
        <v>41370</v>
      </c>
      <c r="K53" s="8" t="s">
        <v>255</v>
      </c>
      <c r="L53" s="8">
        <v>20</v>
      </c>
      <c r="M53" s="8">
        <v>80</v>
      </c>
      <c r="N53" s="8">
        <v>2</v>
      </c>
      <c r="O53" s="8">
        <v>-200</v>
      </c>
      <c r="P53" s="8">
        <v>2730</v>
      </c>
      <c r="Q53" s="8" t="s">
        <v>401</v>
      </c>
      <c r="R53" s="57">
        <v>45780.708333333336</v>
      </c>
      <c r="S53" s="57">
        <v>45988.416678240741</v>
      </c>
      <c r="T53" s="8"/>
      <c r="U53" s="8"/>
      <c r="V53" s="8"/>
      <c r="W53" s="8"/>
      <c r="X53" s="8"/>
      <c r="Y53" s="8"/>
      <c r="Z53" s="8"/>
      <c r="AA53" s="58">
        <v>28.566666666666666</v>
      </c>
      <c r="AB53" s="58">
        <v>28.566666666666666</v>
      </c>
      <c r="AC53" s="42">
        <v>0</v>
      </c>
      <c r="AD53" s="42">
        <v>0</v>
      </c>
      <c r="AE53" s="42">
        <v>0</v>
      </c>
      <c r="AF53" s="8">
        <v>34.799999999999997</v>
      </c>
      <c r="AG53" s="8">
        <f t="shared" si="11"/>
        <v>-34.799999999999997</v>
      </c>
      <c r="AH53" s="59">
        <v>45868</v>
      </c>
      <c r="AI53" s="60">
        <v>0.57223379629629634</v>
      </c>
      <c r="AJ53" s="8" t="s">
        <v>63</v>
      </c>
      <c r="AK53" s="8">
        <v>42</v>
      </c>
      <c r="AL53" s="8">
        <f t="shared" si="12"/>
        <v>-42</v>
      </c>
      <c r="AM53" s="59">
        <v>45946</v>
      </c>
      <c r="AN53" s="60">
        <v>0.47916666666666669</v>
      </c>
      <c r="AO53" s="8" t="s">
        <v>69</v>
      </c>
      <c r="AP53" s="8">
        <v>27.5</v>
      </c>
      <c r="AQ53" s="8">
        <v>27.5</v>
      </c>
      <c r="AR53" s="59">
        <v>45988</v>
      </c>
      <c r="AS53" s="60">
        <v>0.4284722222222222</v>
      </c>
      <c r="AT53" s="8" t="s">
        <v>69</v>
      </c>
      <c r="AU53" s="8"/>
      <c r="AV53" s="8">
        <f t="shared" si="14"/>
        <v>0</v>
      </c>
      <c r="AW53" s="8"/>
      <c r="AX53" s="8"/>
      <c r="AY53" s="8"/>
      <c r="AZ53" s="8" t="s">
        <v>37</v>
      </c>
    </row>
    <row r="54" spans="1:52" s="17" customFormat="1" ht="14" customHeight="1" x14ac:dyDescent="0.2">
      <c r="A54" s="8" t="s">
        <v>521</v>
      </c>
      <c r="B54" s="8">
        <v>46.706119999999999</v>
      </c>
      <c r="C54" s="8">
        <v>-71.064130000000006</v>
      </c>
      <c r="D54" s="8" t="s">
        <v>257</v>
      </c>
      <c r="E54" s="26" t="s">
        <v>252</v>
      </c>
      <c r="F54" s="8" t="s">
        <v>253</v>
      </c>
      <c r="G54" s="8" t="s">
        <v>411</v>
      </c>
      <c r="H54" s="8" t="s">
        <v>251</v>
      </c>
      <c r="I54" s="8"/>
      <c r="J54" s="56">
        <v>41370</v>
      </c>
      <c r="K54" s="8" t="s">
        <v>255</v>
      </c>
      <c r="L54" s="8"/>
      <c r="M54" s="8">
        <v>80</v>
      </c>
      <c r="N54" s="8" t="s">
        <v>37</v>
      </c>
      <c r="O54" s="8" t="s">
        <v>37</v>
      </c>
      <c r="P54" s="8"/>
      <c r="Q54" s="8" t="s">
        <v>401</v>
      </c>
      <c r="R54" s="57">
        <v>45780.708333333336</v>
      </c>
      <c r="S54" s="57">
        <v>45988.416678240741</v>
      </c>
      <c r="T54" s="8"/>
      <c r="U54" s="8"/>
      <c r="V54" s="8"/>
      <c r="W54" s="8"/>
      <c r="X54" s="8"/>
      <c r="Y54" s="8"/>
      <c r="Z54" s="8"/>
      <c r="AA54" s="58">
        <v>28.566666666666666</v>
      </c>
      <c r="AB54" s="58">
        <v>28.566666666666666</v>
      </c>
      <c r="AC54" s="42">
        <v>0</v>
      </c>
      <c r="AD54" s="42">
        <v>0</v>
      </c>
      <c r="AE54" s="42">
        <v>0</v>
      </c>
      <c r="AF54" s="8">
        <v>34.799999999999997</v>
      </c>
      <c r="AG54" s="8">
        <f t="shared" si="11"/>
        <v>-34.799999999999997</v>
      </c>
      <c r="AH54" s="59">
        <v>45868</v>
      </c>
      <c r="AI54" s="60">
        <v>0.57223379629629634</v>
      </c>
      <c r="AJ54" s="8" t="s">
        <v>63</v>
      </c>
      <c r="AK54" s="8">
        <v>42</v>
      </c>
      <c r="AL54" s="8">
        <f t="shared" si="12"/>
        <v>-42</v>
      </c>
      <c r="AM54" s="59">
        <v>45946</v>
      </c>
      <c r="AN54" s="60">
        <v>0.47916666666666669</v>
      </c>
      <c r="AO54" s="8" t="s">
        <v>69</v>
      </c>
      <c r="AP54" s="8">
        <v>27.5</v>
      </c>
      <c r="AQ54" s="8">
        <v>27.5</v>
      </c>
      <c r="AR54" s="59">
        <v>45988</v>
      </c>
      <c r="AS54" s="60">
        <v>0.4284722222222222</v>
      </c>
      <c r="AT54" s="8" t="s">
        <v>69</v>
      </c>
      <c r="AU54" s="8"/>
      <c r="AV54" s="8">
        <f t="shared" si="14"/>
        <v>0</v>
      </c>
      <c r="AW54" s="8"/>
      <c r="AX54" s="8"/>
      <c r="AY54" s="8"/>
      <c r="AZ54" s="8" t="s">
        <v>37</v>
      </c>
    </row>
    <row r="55" spans="1:52" s="17" customFormat="1" ht="14" customHeight="1" x14ac:dyDescent="0.2">
      <c r="A55" s="8" t="s">
        <v>517</v>
      </c>
      <c r="B55" s="8">
        <v>46.706060000000001</v>
      </c>
      <c r="C55" s="8">
        <v>-71.064220000000006</v>
      </c>
      <c r="D55" s="8" t="s">
        <v>256</v>
      </c>
      <c r="E55" s="26" t="s">
        <v>252</v>
      </c>
      <c r="F55" s="8" t="s">
        <v>253</v>
      </c>
      <c r="G55" s="8" t="s">
        <v>408</v>
      </c>
      <c r="H55" s="8" t="s">
        <v>251</v>
      </c>
      <c r="I55" s="8"/>
      <c r="J55" s="56">
        <v>41379</v>
      </c>
      <c r="K55" s="8" t="s">
        <v>255</v>
      </c>
      <c r="L55" s="8">
        <v>80</v>
      </c>
      <c r="M55" s="8">
        <v>80</v>
      </c>
      <c r="N55" s="8">
        <v>1</v>
      </c>
      <c r="O55" s="8">
        <v>-800</v>
      </c>
      <c r="P55" s="8">
        <v>1641</v>
      </c>
      <c r="Q55" s="8" t="s">
        <v>396</v>
      </c>
      <c r="R55" s="57">
        <v>45780.708333333336</v>
      </c>
      <c r="S55" s="57">
        <v>45988.416678240741</v>
      </c>
      <c r="T55" s="62"/>
      <c r="U55" s="62"/>
      <c r="V55" s="62"/>
      <c r="W55" s="62"/>
      <c r="X55" s="62"/>
      <c r="Y55" s="62"/>
      <c r="Z55" s="62"/>
      <c r="AA55" s="102">
        <v>12.5</v>
      </c>
      <c r="AB55" s="102">
        <v>12.5</v>
      </c>
      <c r="AC55" s="42">
        <v>0</v>
      </c>
      <c r="AD55" s="42">
        <v>0</v>
      </c>
      <c r="AE55" s="42">
        <v>0</v>
      </c>
      <c r="AF55" s="8">
        <v>50.3</v>
      </c>
      <c r="AG55" s="8">
        <f t="shared" si="11"/>
        <v>-50.3</v>
      </c>
      <c r="AH55" s="59">
        <v>45868</v>
      </c>
      <c r="AI55" s="60">
        <v>0.42709490740740735</v>
      </c>
      <c r="AJ55" s="8" t="s">
        <v>63</v>
      </c>
      <c r="AK55" s="8">
        <v>79.5</v>
      </c>
      <c r="AL55" s="8">
        <f t="shared" si="12"/>
        <v>-79.5</v>
      </c>
      <c r="AM55" s="29">
        <v>45918</v>
      </c>
      <c r="AN55" s="60">
        <v>0.63541666666666663</v>
      </c>
      <c r="AO55" s="8" t="s">
        <v>69</v>
      </c>
      <c r="AP55" s="8">
        <v>81.5</v>
      </c>
      <c r="AQ55" s="8">
        <f t="shared" ref="AQ55:AQ79" si="15">AP55*-1</f>
        <v>-81.5</v>
      </c>
      <c r="AR55" s="59">
        <v>45946</v>
      </c>
      <c r="AS55" s="60">
        <v>0.48055555555555557</v>
      </c>
      <c r="AT55" s="8" t="s">
        <v>69</v>
      </c>
      <c r="AU55" s="8">
        <v>44.5</v>
      </c>
      <c r="AV55" s="8">
        <f t="shared" si="14"/>
        <v>-44.5</v>
      </c>
      <c r="AW55" s="59">
        <v>45988</v>
      </c>
      <c r="AX55" s="60">
        <v>0.43958333333333333</v>
      </c>
      <c r="AY55" s="8" t="s">
        <v>69</v>
      </c>
      <c r="AZ55" s="8" t="s">
        <v>37</v>
      </c>
    </row>
    <row r="56" spans="1:52" s="17" customFormat="1" ht="14" customHeight="1" x14ac:dyDescent="0.2">
      <c r="A56" s="8" t="s">
        <v>517</v>
      </c>
      <c r="B56" s="8">
        <v>46.706060000000001</v>
      </c>
      <c r="C56" s="8">
        <v>-71.064220000000006</v>
      </c>
      <c r="D56" s="8" t="s">
        <v>256</v>
      </c>
      <c r="E56" s="26" t="s">
        <v>252</v>
      </c>
      <c r="F56" s="8" t="s">
        <v>253</v>
      </c>
      <c r="G56" s="8" t="s">
        <v>408</v>
      </c>
      <c r="H56" s="8" t="s">
        <v>251</v>
      </c>
      <c r="I56" s="8"/>
      <c r="J56" s="56">
        <v>41379</v>
      </c>
      <c r="K56" s="8" t="s">
        <v>255</v>
      </c>
      <c r="L56" s="8">
        <v>20</v>
      </c>
      <c r="M56" s="8">
        <v>80</v>
      </c>
      <c r="N56" s="8">
        <v>2</v>
      </c>
      <c r="O56" s="8">
        <v>-200</v>
      </c>
      <c r="P56" s="8">
        <v>2759</v>
      </c>
      <c r="Q56" s="62" t="s">
        <v>457</v>
      </c>
      <c r="R56" s="57">
        <v>45780.708333333336</v>
      </c>
      <c r="S56" s="57">
        <v>45988.416678240741</v>
      </c>
      <c r="T56" s="62"/>
      <c r="U56" s="62"/>
      <c r="V56" s="62"/>
      <c r="W56" s="62"/>
      <c r="X56" s="62"/>
      <c r="Y56" s="62"/>
      <c r="Z56" s="62"/>
      <c r="AA56" s="102">
        <v>12.5</v>
      </c>
      <c r="AB56" s="102">
        <v>12.5</v>
      </c>
      <c r="AC56" s="42">
        <v>0</v>
      </c>
      <c r="AD56" s="42">
        <v>0</v>
      </c>
      <c r="AE56" s="42">
        <v>0</v>
      </c>
      <c r="AF56" s="8">
        <v>50.3</v>
      </c>
      <c r="AG56" s="8">
        <f t="shared" si="11"/>
        <v>-50.3</v>
      </c>
      <c r="AH56" s="59">
        <v>45868</v>
      </c>
      <c r="AI56" s="60">
        <v>0.42709490740740735</v>
      </c>
      <c r="AJ56" s="8" t="s">
        <v>63</v>
      </c>
      <c r="AK56" s="8">
        <v>79.5</v>
      </c>
      <c r="AL56" s="8">
        <f t="shared" si="12"/>
        <v>-79.5</v>
      </c>
      <c r="AM56" s="29">
        <v>45918</v>
      </c>
      <c r="AN56" s="60">
        <v>0.63541666666666663</v>
      </c>
      <c r="AO56" s="8" t="s">
        <v>69</v>
      </c>
      <c r="AP56" s="8">
        <v>81.5</v>
      </c>
      <c r="AQ56" s="8">
        <f t="shared" si="15"/>
        <v>-81.5</v>
      </c>
      <c r="AR56" s="59">
        <v>45946</v>
      </c>
      <c r="AS56" s="60">
        <v>0.48055555555555557</v>
      </c>
      <c r="AT56" s="8" t="s">
        <v>69</v>
      </c>
      <c r="AU56" s="8">
        <v>44.5</v>
      </c>
      <c r="AV56" s="8">
        <f t="shared" si="14"/>
        <v>-44.5</v>
      </c>
      <c r="AW56" s="59">
        <v>45988</v>
      </c>
      <c r="AX56" s="60">
        <v>0.43958333333333333</v>
      </c>
      <c r="AY56" s="8" t="s">
        <v>69</v>
      </c>
      <c r="AZ56" s="8" t="s">
        <v>37</v>
      </c>
    </row>
    <row r="57" spans="1:52" ht="15" customHeight="1" x14ac:dyDescent="0.2">
      <c r="A57" s="8" t="s">
        <v>517</v>
      </c>
      <c r="B57" s="8">
        <v>46.706060000000001</v>
      </c>
      <c r="C57" s="8">
        <v>-71.064220000000006</v>
      </c>
      <c r="D57" s="8" t="s">
        <v>257</v>
      </c>
      <c r="E57" s="26" t="s">
        <v>252</v>
      </c>
      <c r="F57" s="8" t="s">
        <v>253</v>
      </c>
      <c r="G57" s="8" t="s">
        <v>408</v>
      </c>
      <c r="H57" s="8" t="s">
        <v>251</v>
      </c>
      <c r="I57" s="8"/>
      <c r="J57" s="56">
        <v>41379</v>
      </c>
      <c r="K57" s="8" t="s">
        <v>255</v>
      </c>
      <c r="L57" s="8"/>
      <c r="M57" s="8">
        <v>80</v>
      </c>
      <c r="N57" s="8" t="s">
        <v>37</v>
      </c>
      <c r="O57" s="8" t="s">
        <v>37</v>
      </c>
      <c r="P57" s="8"/>
      <c r="Q57" s="8"/>
      <c r="R57" s="57">
        <v>45780.708333333336</v>
      </c>
      <c r="S57" s="57">
        <v>45988.416678240741</v>
      </c>
      <c r="T57" s="62"/>
      <c r="U57" s="62"/>
      <c r="V57" s="62"/>
      <c r="W57" s="62"/>
      <c r="X57" s="62"/>
      <c r="Y57" s="62"/>
      <c r="Z57" s="62"/>
      <c r="AA57" s="102">
        <v>12.5</v>
      </c>
      <c r="AB57" s="102">
        <v>12.5</v>
      </c>
      <c r="AC57" s="42">
        <v>0</v>
      </c>
      <c r="AD57" s="42">
        <v>0</v>
      </c>
      <c r="AE57" s="42">
        <v>0</v>
      </c>
      <c r="AF57" s="8">
        <v>50.3</v>
      </c>
      <c r="AG57" s="8">
        <f t="shared" si="11"/>
        <v>-50.3</v>
      </c>
      <c r="AH57" s="59">
        <v>45868</v>
      </c>
      <c r="AI57" s="60">
        <v>0.42709490740740735</v>
      </c>
      <c r="AJ57" s="8" t="s">
        <v>63</v>
      </c>
      <c r="AK57" s="8">
        <v>79.5</v>
      </c>
      <c r="AL57" s="8">
        <f t="shared" si="12"/>
        <v>-79.5</v>
      </c>
      <c r="AM57" s="29">
        <v>45918</v>
      </c>
      <c r="AN57" s="60">
        <v>0.63541666666666663</v>
      </c>
      <c r="AO57" s="8" t="s">
        <v>69</v>
      </c>
      <c r="AP57" s="8">
        <v>81.5</v>
      </c>
      <c r="AQ57" s="8">
        <f t="shared" si="15"/>
        <v>-81.5</v>
      </c>
      <c r="AR57" s="59">
        <v>45946</v>
      </c>
      <c r="AS57" s="60">
        <v>0.48055555555555557</v>
      </c>
      <c r="AT57" s="8" t="s">
        <v>69</v>
      </c>
      <c r="AU57" s="8">
        <v>44.5</v>
      </c>
      <c r="AV57" s="8">
        <f t="shared" si="14"/>
        <v>-44.5</v>
      </c>
      <c r="AW57" s="59">
        <v>45988</v>
      </c>
      <c r="AX57" s="60">
        <v>0.43958333333333333</v>
      </c>
      <c r="AY57" s="8" t="s">
        <v>69</v>
      </c>
      <c r="AZ57" s="8" t="s">
        <v>37</v>
      </c>
    </row>
    <row r="58" spans="1:52" ht="15" customHeight="1" x14ac:dyDescent="0.2">
      <c r="A58" s="8" t="s">
        <v>524</v>
      </c>
      <c r="B58" s="8">
        <v>46.706090000000003</v>
      </c>
      <c r="C58" s="61">
        <v>-71.0642</v>
      </c>
      <c r="D58" s="8" t="s">
        <v>256</v>
      </c>
      <c r="E58" s="26" t="s">
        <v>252</v>
      </c>
      <c r="F58" s="8" t="s">
        <v>253</v>
      </c>
      <c r="G58" s="8" t="s">
        <v>409</v>
      </c>
      <c r="H58" s="8" t="s">
        <v>251</v>
      </c>
      <c r="I58" s="8" t="s">
        <v>525</v>
      </c>
      <c r="J58" s="56">
        <v>41382</v>
      </c>
      <c r="K58" s="8" t="s">
        <v>255</v>
      </c>
      <c r="L58" s="8">
        <v>80</v>
      </c>
      <c r="M58" s="8">
        <v>80</v>
      </c>
      <c r="N58" s="8">
        <v>1</v>
      </c>
      <c r="O58" s="8">
        <v>-800</v>
      </c>
      <c r="P58" s="8">
        <v>1536</v>
      </c>
      <c r="Q58" s="8"/>
      <c r="R58" s="57">
        <v>45780.708333333336</v>
      </c>
      <c r="S58" s="57">
        <v>45988.416678240741</v>
      </c>
      <c r="T58" s="8"/>
      <c r="U58" s="8"/>
      <c r="V58" s="8"/>
      <c r="W58" s="8"/>
      <c r="X58" s="8"/>
      <c r="Y58" s="8"/>
      <c r="Z58" s="8"/>
      <c r="AA58" s="58">
        <v>18.3</v>
      </c>
      <c r="AB58" s="58">
        <v>18.3</v>
      </c>
      <c r="AC58" s="42">
        <v>0</v>
      </c>
      <c r="AD58" s="42">
        <v>0</v>
      </c>
      <c r="AE58" s="42">
        <v>0</v>
      </c>
      <c r="AF58" s="8">
        <v>48.5</v>
      </c>
      <c r="AG58" s="8">
        <f t="shared" si="11"/>
        <v>-48.5</v>
      </c>
      <c r="AH58" s="59">
        <v>45868</v>
      </c>
      <c r="AI58" s="60">
        <v>0.57501157407407411</v>
      </c>
      <c r="AJ58" s="8" t="s">
        <v>63</v>
      </c>
      <c r="AK58" s="8">
        <v>74</v>
      </c>
      <c r="AL58" s="8">
        <f t="shared" si="12"/>
        <v>-74</v>
      </c>
      <c r="AM58" s="29">
        <v>45918</v>
      </c>
      <c r="AN58" s="60">
        <v>0.63541666666666663</v>
      </c>
      <c r="AO58" s="8" t="s">
        <v>69</v>
      </c>
      <c r="AP58" s="8">
        <v>71</v>
      </c>
      <c r="AQ58" s="8">
        <f t="shared" si="15"/>
        <v>-71</v>
      </c>
      <c r="AR58" s="59">
        <v>45946</v>
      </c>
      <c r="AS58" s="60">
        <v>0.48055555555555557</v>
      </c>
      <c r="AT58" s="8" t="s">
        <v>69</v>
      </c>
      <c r="AU58" s="8">
        <v>33.25</v>
      </c>
      <c r="AV58" s="8">
        <f t="shared" si="14"/>
        <v>-33.25</v>
      </c>
      <c r="AW58" s="59">
        <v>45988</v>
      </c>
      <c r="AX58" s="60">
        <v>0.43333333333333335</v>
      </c>
      <c r="AY58" s="8" t="s">
        <v>69</v>
      </c>
      <c r="AZ58" s="8" t="s">
        <v>37</v>
      </c>
    </row>
    <row r="59" spans="1:52" s="17" customFormat="1" ht="14" customHeight="1" x14ac:dyDescent="0.2">
      <c r="A59" s="8" t="s">
        <v>524</v>
      </c>
      <c r="B59" s="8">
        <v>46.706090000000003</v>
      </c>
      <c r="C59" s="61">
        <v>-71.0642</v>
      </c>
      <c r="D59" s="8" t="s">
        <v>256</v>
      </c>
      <c r="E59" s="26" t="s">
        <v>252</v>
      </c>
      <c r="F59" s="8" t="s">
        <v>253</v>
      </c>
      <c r="G59" s="8" t="s">
        <v>409</v>
      </c>
      <c r="H59" s="8" t="s">
        <v>251</v>
      </c>
      <c r="I59" s="8" t="s">
        <v>525</v>
      </c>
      <c r="J59" s="56">
        <v>41382</v>
      </c>
      <c r="K59" s="8" t="s">
        <v>255</v>
      </c>
      <c r="L59" s="8">
        <v>20</v>
      </c>
      <c r="M59" s="8">
        <v>80</v>
      </c>
      <c r="N59" s="8">
        <v>2</v>
      </c>
      <c r="O59" s="8">
        <v>-200</v>
      </c>
      <c r="P59" s="8">
        <v>2465</v>
      </c>
      <c r="Q59" s="8"/>
      <c r="R59" s="57">
        <v>45780.708333333336</v>
      </c>
      <c r="S59" s="57">
        <v>45988.416678240741</v>
      </c>
      <c r="T59" s="8"/>
      <c r="U59" s="8"/>
      <c r="V59" s="8"/>
      <c r="W59" s="8"/>
      <c r="X59" s="8"/>
      <c r="Y59" s="8"/>
      <c r="Z59" s="8"/>
      <c r="AA59" s="58">
        <v>17.833333333333332</v>
      </c>
      <c r="AB59" s="58">
        <v>17.833333333333332</v>
      </c>
      <c r="AC59" s="42">
        <v>0</v>
      </c>
      <c r="AD59" s="42">
        <v>0</v>
      </c>
      <c r="AE59" s="42">
        <v>0</v>
      </c>
      <c r="AF59" s="8">
        <v>48.5</v>
      </c>
      <c r="AG59" s="8">
        <f t="shared" si="11"/>
        <v>-48.5</v>
      </c>
      <c r="AH59" s="59">
        <v>45868</v>
      </c>
      <c r="AI59" s="60">
        <v>0.57501157407407411</v>
      </c>
      <c r="AJ59" s="8" t="s">
        <v>63</v>
      </c>
      <c r="AK59" s="8">
        <v>74</v>
      </c>
      <c r="AL59" s="8">
        <f t="shared" si="12"/>
        <v>-74</v>
      </c>
      <c r="AM59" s="29">
        <v>45918</v>
      </c>
      <c r="AN59" s="60">
        <v>0.63541666666666663</v>
      </c>
      <c r="AO59" s="8" t="s">
        <v>69</v>
      </c>
      <c r="AP59" s="8">
        <v>71</v>
      </c>
      <c r="AQ59" s="8">
        <f t="shared" si="15"/>
        <v>-71</v>
      </c>
      <c r="AR59" s="59">
        <v>45946</v>
      </c>
      <c r="AS59" s="60">
        <v>0.48055555555555557</v>
      </c>
      <c r="AT59" s="8" t="s">
        <v>69</v>
      </c>
      <c r="AU59" s="8">
        <v>33.25</v>
      </c>
      <c r="AV59" s="8">
        <f t="shared" si="14"/>
        <v>-33.25</v>
      </c>
      <c r="AW59" s="59">
        <v>45988</v>
      </c>
      <c r="AX59" s="60">
        <v>0.43333333333333335</v>
      </c>
      <c r="AY59" s="8" t="s">
        <v>69</v>
      </c>
      <c r="AZ59" s="8" t="s">
        <v>37</v>
      </c>
    </row>
    <row r="60" spans="1:52" ht="14" customHeight="1" x14ac:dyDescent="0.2">
      <c r="A60" s="8" t="s">
        <v>524</v>
      </c>
      <c r="B60" s="8">
        <v>46.706090000000003</v>
      </c>
      <c r="C60" s="61">
        <v>-71.0642</v>
      </c>
      <c r="D60" s="8" t="s">
        <v>257</v>
      </c>
      <c r="E60" s="26" t="s">
        <v>252</v>
      </c>
      <c r="F60" s="8" t="s">
        <v>253</v>
      </c>
      <c r="G60" s="8" t="s">
        <v>409</v>
      </c>
      <c r="H60" s="8" t="s">
        <v>251</v>
      </c>
      <c r="I60" s="8" t="s">
        <v>525</v>
      </c>
      <c r="J60" s="56">
        <v>41382</v>
      </c>
      <c r="K60" s="8" t="s">
        <v>255</v>
      </c>
      <c r="L60" s="8"/>
      <c r="M60" s="8">
        <v>80</v>
      </c>
      <c r="N60" s="8" t="s">
        <v>37</v>
      </c>
      <c r="O60" s="8" t="s">
        <v>37</v>
      </c>
      <c r="P60" s="8"/>
      <c r="Q60" s="8"/>
      <c r="R60" s="57">
        <v>45780.708333333336</v>
      </c>
      <c r="S60" s="57">
        <v>45988.416678240741</v>
      </c>
      <c r="T60" s="8"/>
      <c r="U60" s="8"/>
      <c r="V60" s="8"/>
      <c r="W60" s="8"/>
      <c r="X60" s="8"/>
      <c r="Y60" s="8"/>
      <c r="Z60" s="8"/>
      <c r="AA60" s="58">
        <v>17.833333333333332</v>
      </c>
      <c r="AB60" s="58">
        <v>17.833333333333332</v>
      </c>
      <c r="AC60" s="42">
        <v>0</v>
      </c>
      <c r="AD60" s="42">
        <v>0</v>
      </c>
      <c r="AE60" s="42">
        <v>0</v>
      </c>
      <c r="AF60" s="8">
        <v>48.5</v>
      </c>
      <c r="AG60" s="8">
        <f t="shared" si="11"/>
        <v>-48.5</v>
      </c>
      <c r="AH60" s="59">
        <v>45868</v>
      </c>
      <c r="AI60" s="60">
        <v>0.57501157407407411</v>
      </c>
      <c r="AJ60" s="8" t="s">
        <v>63</v>
      </c>
      <c r="AK60" s="8">
        <v>74</v>
      </c>
      <c r="AL60" s="8">
        <f t="shared" si="12"/>
        <v>-74</v>
      </c>
      <c r="AM60" s="29">
        <v>45918</v>
      </c>
      <c r="AN60" s="60">
        <v>0.63541666666666663</v>
      </c>
      <c r="AO60" s="8" t="s">
        <v>69</v>
      </c>
      <c r="AP60" s="8">
        <v>71</v>
      </c>
      <c r="AQ60" s="8">
        <f t="shared" si="15"/>
        <v>-71</v>
      </c>
      <c r="AR60" s="59">
        <v>45946</v>
      </c>
      <c r="AS60" s="60">
        <v>0.48055555555555557</v>
      </c>
      <c r="AT60" s="8" t="s">
        <v>69</v>
      </c>
      <c r="AU60" s="8">
        <v>33.25</v>
      </c>
      <c r="AV60" s="8">
        <f t="shared" si="14"/>
        <v>-33.25</v>
      </c>
      <c r="AW60" s="59">
        <v>45988</v>
      </c>
      <c r="AX60" s="60">
        <v>0.43333333333333335</v>
      </c>
      <c r="AY60" s="8" t="s">
        <v>69</v>
      </c>
      <c r="AZ60" s="8" t="s">
        <v>37</v>
      </c>
    </row>
    <row r="61" spans="1:52" ht="14" customHeight="1" x14ac:dyDescent="0.2">
      <c r="A61" s="8" t="s">
        <v>520</v>
      </c>
      <c r="B61" s="8">
        <v>46.706130000000002</v>
      </c>
      <c r="C61" s="8">
        <v>-71.064220000000006</v>
      </c>
      <c r="D61" s="8" t="s">
        <v>256</v>
      </c>
      <c r="E61" s="26" t="s">
        <v>252</v>
      </c>
      <c r="F61" s="8" t="s">
        <v>253</v>
      </c>
      <c r="G61" s="8" t="s">
        <v>410</v>
      </c>
      <c r="H61" s="8" t="s">
        <v>251</v>
      </c>
      <c r="I61" s="8" t="s">
        <v>519</v>
      </c>
      <c r="J61" s="56">
        <v>41384</v>
      </c>
      <c r="K61" s="8" t="s">
        <v>255</v>
      </c>
      <c r="L61" s="8">
        <v>80</v>
      </c>
      <c r="M61" s="8">
        <v>80</v>
      </c>
      <c r="N61" s="8">
        <v>1</v>
      </c>
      <c r="O61" s="8">
        <v>-800</v>
      </c>
      <c r="P61" s="8">
        <v>1510</v>
      </c>
      <c r="Q61" s="8"/>
      <c r="R61" s="57">
        <v>45780.708333333336</v>
      </c>
      <c r="S61" s="57">
        <v>45988.416678240741</v>
      </c>
      <c r="T61" s="8"/>
      <c r="U61" s="8"/>
      <c r="V61" s="8"/>
      <c r="W61" s="8"/>
      <c r="X61" s="8"/>
      <c r="Y61" s="8"/>
      <c r="Z61" s="8"/>
      <c r="AA61" s="58">
        <v>22.833333333333332</v>
      </c>
      <c r="AB61" s="58">
        <v>22.833333333333332</v>
      </c>
      <c r="AC61" s="42">
        <v>0</v>
      </c>
      <c r="AD61" s="42">
        <v>0</v>
      </c>
      <c r="AE61" s="42">
        <v>0</v>
      </c>
      <c r="AF61" s="8">
        <v>55.6</v>
      </c>
      <c r="AG61" s="8">
        <f t="shared" si="11"/>
        <v>-55.6</v>
      </c>
      <c r="AH61" s="59">
        <v>45868</v>
      </c>
      <c r="AI61" s="60">
        <v>0.57431712962962966</v>
      </c>
      <c r="AJ61" s="8" t="s">
        <v>63</v>
      </c>
      <c r="AK61" s="8">
        <v>64.5</v>
      </c>
      <c r="AL61" s="8">
        <f t="shared" si="12"/>
        <v>-64.5</v>
      </c>
      <c r="AM61" s="29">
        <v>45918</v>
      </c>
      <c r="AN61" s="60">
        <v>0.63541666666666663</v>
      </c>
      <c r="AO61" s="8" t="s">
        <v>69</v>
      </c>
      <c r="AP61" s="8">
        <v>64</v>
      </c>
      <c r="AQ61" s="8">
        <f t="shared" si="15"/>
        <v>-64</v>
      </c>
      <c r="AR61" s="59">
        <v>45946</v>
      </c>
      <c r="AS61" s="60">
        <v>0.47569444444444442</v>
      </c>
      <c r="AT61" s="8" t="s">
        <v>69</v>
      </c>
      <c r="AU61" s="8">
        <v>45.5</v>
      </c>
      <c r="AV61" s="8">
        <f t="shared" si="14"/>
        <v>-45.5</v>
      </c>
      <c r="AW61" s="59">
        <v>45988</v>
      </c>
      <c r="AX61" s="60">
        <v>0.42986111111111114</v>
      </c>
      <c r="AY61" s="8" t="s">
        <v>69</v>
      </c>
      <c r="AZ61" s="8" t="s">
        <v>37</v>
      </c>
    </row>
    <row r="62" spans="1:52" ht="14" customHeight="1" x14ac:dyDescent="0.2">
      <c r="A62" s="8" t="s">
        <v>520</v>
      </c>
      <c r="B62" s="8">
        <v>46.706130000000002</v>
      </c>
      <c r="C62" s="8">
        <v>-71.064220000000006</v>
      </c>
      <c r="D62" s="8" t="s">
        <v>256</v>
      </c>
      <c r="E62" s="26" t="s">
        <v>252</v>
      </c>
      <c r="F62" s="8" t="s">
        <v>253</v>
      </c>
      <c r="G62" s="8" t="s">
        <v>410</v>
      </c>
      <c r="H62" s="8" t="s">
        <v>251</v>
      </c>
      <c r="I62" s="8" t="s">
        <v>519</v>
      </c>
      <c r="J62" s="56">
        <v>41384</v>
      </c>
      <c r="K62" s="8" t="s">
        <v>255</v>
      </c>
      <c r="L62" s="8">
        <v>20</v>
      </c>
      <c r="M62" s="8">
        <v>80</v>
      </c>
      <c r="N62" s="8">
        <v>2</v>
      </c>
      <c r="O62" s="8">
        <v>-200</v>
      </c>
      <c r="P62" s="8">
        <v>2443</v>
      </c>
      <c r="Q62" s="8"/>
      <c r="R62" s="57">
        <v>45780.708333333336</v>
      </c>
      <c r="S62" s="57">
        <v>45988.416678240741</v>
      </c>
      <c r="T62" s="8"/>
      <c r="U62" s="8"/>
      <c r="V62" s="8"/>
      <c r="W62" s="8"/>
      <c r="X62" s="8"/>
      <c r="Y62" s="8"/>
      <c r="Z62" s="8"/>
      <c r="AA62" s="58">
        <v>22.833333333333332</v>
      </c>
      <c r="AB62" s="58">
        <v>22.833333333333332</v>
      </c>
      <c r="AC62" s="42">
        <v>0</v>
      </c>
      <c r="AD62" s="42">
        <v>0</v>
      </c>
      <c r="AE62" s="42">
        <v>0</v>
      </c>
      <c r="AF62" s="8">
        <v>55.6</v>
      </c>
      <c r="AG62" s="8">
        <f t="shared" si="11"/>
        <v>-55.6</v>
      </c>
      <c r="AH62" s="59">
        <v>45868</v>
      </c>
      <c r="AI62" s="60">
        <v>0.57431712962962966</v>
      </c>
      <c r="AJ62" s="8" t="s">
        <v>63</v>
      </c>
      <c r="AK62" s="8">
        <v>64.5</v>
      </c>
      <c r="AL62" s="8">
        <f t="shared" si="12"/>
        <v>-64.5</v>
      </c>
      <c r="AM62" s="29">
        <v>45918</v>
      </c>
      <c r="AN62" s="60">
        <v>0.63541666666666663</v>
      </c>
      <c r="AO62" s="8" t="s">
        <v>69</v>
      </c>
      <c r="AP62" s="8">
        <v>64</v>
      </c>
      <c r="AQ62" s="8">
        <f t="shared" si="15"/>
        <v>-64</v>
      </c>
      <c r="AR62" s="59">
        <v>45946</v>
      </c>
      <c r="AS62" s="60">
        <v>0.47569444444444442</v>
      </c>
      <c r="AT62" s="8" t="s">
        <v>69</v>
      </c>
      <c r="AU62" s="8">
        <v>45.5</v>
      </c>
      <c r="AV62" s="8">
        <f t="shared" si="14"/>
        <v>-45.5</v>
      </c>
      <c r="AW62" s="59">
        <v>45988</v>
      </c>
      <c r="AX62" s="60">
        <v>0.42986111111111114</v>
      </c>
      <c r="AY62" s="8" t="s">
        <v>69</v>
      </c>
      <c r="AZ62" s="8" t="s">
        <v>37</v>
      </c>
    </row>
    <row r="63" spans="1:52" ht="14" customHeight="1" x14ac:dyDescent="0.2">
      <c r="A63" s="8" t="s">
        <v>520</v>
      </c>
      <c r="B63" s="8">
        <v>46.706130000000002</v>
      </c>
      <c r="C63" s="8">
        <v>-71.064220000000006</v>
      </c>
      <c r="D63" s="8" t="s">
        <v>257</v>
      </c>
      <c r="E63" s="26" t="s">
        <v>252</v>
      </c>
      <c r="F63" s="8" t="s">
        <v>253</v>
      </c>
      <c r="G63" s="8" t="s">
        <v>410</v>
      </c>
      <c r="H63" s="8" t="s">
        <v>251</v>
      </c>
      <c r="I63" s="8" t="s">
        <v>519</v>
      </c>
      <c r="J63" s="56">
        <v>41384</v>
      </c>
      <c r="K63" s="8" t="s">
        <v>255</v>
      </c>
      <c r="L63" s="8"/>
      <c r="M63" s="8">
        <v>80</v>
      </c>
      <c r="N63" s="8" t="s">
        <v>37</v>
      </c>
      <c r="O63" s="8" t="s">
        <v>37</v>
      </c>
      <c r="P63" s="8"/>
      <c r="Q63" s="8"/>
      <c r="R63" s="57">
        <v>45780.708333333336</v>
      </c>
      <c r="S63" s="57">
        <v>45988.416678240741</v>
      </c>
      <c r="T63" s="8"/>
      <c r="U63" s="8"/>
      <c r="V63" s="8"/>
      <c r="W63" s="8"/>
      <c r="X63" s="8"/>
      <c r="Y63" s="8"/>
      <c r="Z63" s="8"/>
      <c r="AA63" s="58">
        <v>22.833333333333332</v>
      </c>
      <c r="AB63" s="58">
        <v>22.833333333333332</v>
      </c>
      <c r="AC63" s="42">
        <v>0</v>
      </c>
      <c r="AD63" s="42">
        <v>0</v>
      </c>
      <c r="AE63" s="42">
        <v>0</v>
      </c>
      <c r="AF63" s="8">
        <v>55.6</v>
      </c>
      <c r="AG63" s="8">
        <f t="shared" si="11"/>
        <v>-55.6</v>
      </c>
      <c r="AH63" s="59">
        <v>45868</v>
      </c>
      <c r="AI63" s="60">
        <v>0.57431712962962966</v>
      </c>
      <c r="AJ63" s="8" t="s">
        <v>63</v>
      </c>
      <c r="AK63" s="8">
        <v>64.5</v>
      </c>
      <c r="AL63" s="8">
        <f t="shared" si="12"/>
        <v>-64.5</v>
      </c>
      <c r="AM63" s="29">
        <v>45918</v>
      </c>
      <c r="AN63" s="60">
        <v>0.63541666666666663</v>
      </c>
      <c r="AO63" s="8" t="s">
        <v>69</v>
      </c>
      <c r="AP63" s="8">
        <v>64</v>
      </c>
      <c r="AQ63" s="8">
        <f t="shared" si="15"/>
        <v>-64</v>
      </c>
      <c r="AR63" s="59">
        <v>45946</v>
      </c>
      <c r="AS63" s="60">
        <v>0.47569444444444442</v>
      </c>
      <c r="AT63" s="8" t="s">
        <v>69</v>
      </c>
      <c r="AU63" s="8">
        <v>45.5</v>
      </c>
      <c r="AV63" s="8">
        <f t="shared" ref="AV63:AV79" si="16">AU63*-1</f>
        <v>-45.5</v>
      </c>
      <c r="AW63" s="59">
        <v>45988</v>
      </c>
      <c r="AX63" s="60">
        <v>0.42986111111111114</v>
      </c>
      <c r="AY63" s="8" t="s">
        <v>69</v>
      </c>
      <c r="AZ63" s="8" t="s">
        <v>37</v>
      </c>
    </row>
    <row r="64" spans="1:52" ht="14" customHeight="1" x14ac:dyDescent="0.2">
      <c r="A64" s="8" t="s">
        <v>527</v>
      </c>
      <c r="B64" s="8">
        <v>46.70581</v>
      </c>
      <c r="C64" s="61">
        <v>-71.063800000000001</v>
      </c>
      <c r="D64" s="8" t="s">
        <v>256</v>
      </c>
      <c r="E64" s="26" t="s">
        <v>252</v>
      </c>
      <c r="F64" s="8" t="s">
        <v>253</v>
      </c>
      <c r="G64" s="8" t="s">
        <v>406</v>
      </c>
      <c r="H64" s="8" t="s">
        <v>260</v>
      </c>
      <c r="I64" s="8" t="s">
        <v>526</v>
      </c>
      <c r="J64" s="56">
        <v>42563</v>
      </c>
      <c r="K64" s="8" t="s">
        <v>255</v>
      </c>
      <c r="L64" s="8">
        <v>140</v>
      </c>
      <c r="M64" s="8">
        <v>140</v>
      </c>
      <c r="N64" s="8">
        <v>1</v>
      </c>
      <c r="O64" s="8">
        <v>-1400</v>
      </c>
      <c r="P64" s="8">
        <v>1858</v>
      </c>
      <c r="Q64" s="8"/>
      <c r="R64" s="57">
        <v>45780.708333333336</v>
      </c>
      <c r="S64" s="57">
        <v>45988.541678240741</v>
      </c>
      <c r="T64" s="8"/>
      <c r="U64" s="8"/>
      <c r="V64" s="8"/>
      <c r="W64" s="8"/>
      <c r="X64" s="8"/>
      <c r="Y64" s="8"/>
      <c r="Z64" s="8"/>
      <c r="AA64" s="58">
        <v>16.5</v>
      </c>
      <c r="AB64" s="58">
        <v>16.5</v>
      </c>
      <c r="AC64" s="42">
        <v>0</v>
      </c>
      <c r="AD64" s="42">
        <v>0</v>
      </c>
      <c r="AE64" s="42">
        <v>0</v>
      </c>
      <c r="AF64" s="8">
        <v>52</v>
      </c>
      <c r="AG64" s="8">
        <f t="shared" si="11"/>
        <v>-52</v>
      </c>
      <c r="AH64" s="59">
        <v>45868</v>
      </c>
      <c r="AI64" s="60">
        <v>0.6014004629629629</v>
      </c>
      <c r="AJ64" s="8" t="s">
        <v>63</v>
      </c>
      <c r="AK64" s="8">
        <v>79.5</v>
      </c>
      <c r="AL64" s="8">
        <f t="shared" si="12"/>
        <v>-79.5</v>
      </c>
      <c r="AM64" s="29">
        <v>45918</v>
      </c>
      <c r="AN64" s="60">
        <v>0.65277777777777779</v>
      </c>
      <c r="AO64" s="8" t="s">
        <v>69</v>
      </c>
      <c r="AP64" s="8">
        <v>39.5</v>
      </c>
      <c r="AQ64" s="8">
        <f t="shared" si="15"/>
        <v>-39.5</v>
      </c>
      <c r="AR64" s="59">
        <v>45988</v>
      </c>
      <c r="AS64" s="60">
        <v>0.57499999999999996</v>
      </c>
      <c r="AT64" s="8" t="s">
        <v>69</v>
      </c>
      <c r="AU64" s="8"/>
      <c r="AV64" s="8">
        <f t="shared" si="16"/>
        <v>0</v>
      </c>
      <c r="AW64" s="8"/>
      <c r="AX64" s="8"/>
      <c r="AY64" s="8"/>
      <c r="AZ64" s="8" t="s">
        <v>37</v>
      </c>
    </row>
    <row r="65" spans="1:52" ht="14" customHeight="1" x14ac:dyDescent="0.2">
      <c r="A65" s="8" t="s">
        <v>527</v>
      </c>
      <c r="B65" s="8">
        <v>46.70581</v>
      </c>
      <c r="C65" s="61">
        <v>-71.063800000000001</v>
      </c>
      <c r="D65" s="8" t="s">
        <v>256</v>
      </c>
      <c r="E65" s="26" t="s">
        <v>252</v>
      </c>
      <c r="F65" s="8" t="s">
        <v>253</v>
      </c>
      <c r="G65" s="8" t="s">
        <v>406</v>
      </c>
      <c r="H65" s="8" t="s">
        <v>260</v>
      </c>
      <c r="I65" s="8" t="s">
        <v>526</v>
      </c>
      <c r="J65" s="56">
        <v>42563</v>
      </c>
      <c r="K65" s="8" t="s">
        <v>255</v>
      </c>
      <c r="L65" s="8">
        <v>20</v>
      </c>
      <c r="M65" s="8">
        <v>140</v>
      </c>
      <c r="N65" s="8">
        <v>2</v>
      </c>
      <c r="O65" s="8">
        <v>-200</v>
      </c>
      <c r="P65" s="8">
        <v>3696</v>
      </c>
      <c r="Q65" s="8"/>
      <c r="R65" s="57">
        <v>45780.708333333336</v>
      </c>
      <c r="S65" s="57">
        <v>45988.541678240741</v>
      </c>
      <c r="T65" s="8"/>
      <c r="U65" s="8"/>
      <c r="V65" s="8"/>
      <c r="W65" s="8"/>
      <c r="X65" s="8"/>
      <c r="Y65" s="8"/>
      <c r="Z65" s="8"/>
      <c r="AA65" s="58">
        <v>16.5</v>
      </c>
      <c r="AB65" s="58">
        <v>16.5</v>
      </c>
      <c r="AC65" s="42">
        <v>0</v>
      </c>
      <c r="AD65" s="42">
        <v>0</v>
      </c>
      <c r="AE65" s="42">
        <v>0</v>
      </c>
      <c r="AF65" s="8">
        <v>52</v>
      </c>
      <c r="AG65" s="8">
        <f t="shared" si="11"/>
        <v>-52</v>
      </c>
      <c r="AH65" s="59">
        <v>45868</v>
      </c>
      <c r="AI65" s="60">
        <v>0.6014004629629629</v>
      </c>
      <c r="AJ65" s="8" t="s">
        <v>63</v>
      </c>
      <c r="AK65" s="8">
        <v>79.5</v>
      </c>
      <c r="AL65" s="8">
        <f t="shared" si="12"/>
        <v>-79.5</v>
      </c>
      <c r="AM65" s="29">
        <v>45918</v>
      </c>
      <c r="AN65" s="60">
        <v>0.65277777777777779</v>
      </c>
      <c r="AO65" s="8" t="s">
        <v>69</v>
      </c>
      <c r="AP65" s="8">
        <v>39.5</v>
      </c>
      <c r="AQ65" s="8">
        <f t="shared" si="15"/>
        <v>-39.5</v>
      </c>
      <c r="AR65" s="59">
        <v>45988</v>
      </c>
      <c r="AS65" s="60">
        <v>0.57499999999999996</v>
      </c>
      <c r="AT65" s="8" t="s">
        <v>69</v>
      </c>
      <c r="AU65" s="8"/>
      <c r="AV65" s="8">
        <f t="shared" si="16"/>
        <v>0</v>
      </c>
      <c r="AW65" s="8"/>
      <c r="AX65" s="8"/>
      <c r="AY65" s="8"/>
      <c r="AZ65" s="8" t="s">
        <v>37</v>
      </c>
    </row>
    <row r="66" spans="1:52" s="17" customFormat="1" ht="14" customHeight="1" x14ac:dyDescent="0.2">
      <c r="A66" s="8" t="s">
        <v>527</v>
      </c>
      <c r="B66" s="8">
        <v>46.70581</v>
      </c>
      <c r="C66" s="61">
        <v>-71.063800000000001</v>
      </c>
      <c r="D66" s="8" t="s">
        <v>257</v>
      </c>
      <c r="E66" s="26" t="s">
        <v>252</v>
      </c>
      <c r="F66" s="8" t="s">
        <v>253</v>
      </c>
      <c r="G66" s="8" t="s">
        <v>406</v>
      </c>
      <c r="H66" s="8" t="s">
        <v>260</v>
      </c>
      <c r="I66" s="8" t="s">
        <v>526</v>
      </c>
      <c r="J66" s="56">
        <v>42563</v>
      </c>
      <c r="K66" s="8" t="s">
        <v>255</v>
      </c>
      <c r="L66" s="8"/>
      <c r="M66" s="8">
        <v>140</v>
      </c>
      <c r="N66" s="8" t="s">
        <v>37</v>
      </c>
      <c r="O66" s="8" t="s">
        <v>37</v>
      </c>
      <c r="P66" s="8"/>
      <c r="Q66" s="8"/>
      <c r="R66" s="57">
        <v>45780.708333333336</v>
      </c>
      <c r="S66" s="57">
        <v>45988.541678240741</v>
      </c>
      <c r="T66" s="8"/>
      <c r="U66" s="8"/>
      <c r="V66" s="8"/>
      <c r="W66" s="8"/>
      <c r="X66" s="8"/>
      <c r="Y66" s="8"/>
      <c r="Z66" s="8"/>
      <c r="AA66" s="58">
        <v>16.5</v>
      </c>
      <c r="AB66" s="58">
        <v>16.5</v>
      </c>
      <c r="AC66" s="42">
        <v>0</v>
      </c>
      <c r="AD66" s="42">
        <v>0</v>
      </c>
      <c r="AE66" s="42">
        <v>0</v>
      </c>
      <c r="AF66" s="8">
        <v>52</v>
      </c>
      <c r="AG66" s="8">
        <f t="shared" si="11"/>
        <v>-52</v>
      </c>
      <c r="AH66" s="59">
        <v>45868</v>
      </c>
      <c r="AI66" s="60">
        <v>0.6014004629629629</v>
      </c>
      <c r="AJ66" s="8" t="s">
        <v>63</v>
      </c>
      <c r="AK66" s="8">
        <v>79.5</v>
      </c>
      <c r="AL66" s="8">
        <f t="shared" si="12"/>
        <v>-79.5</v>
      </c>
      <c r="AM66" s="29">
        <v>45918</v>
      </c>
      <c r="AN66" s="60">
        <v>0.65277777777777779</v>
      </c>
      <c r="AO66" s="8" t="s">
        <v>69</v>
      </c>
      <c r="AP66" s="8">
        <v>39.5</v>
      </c>
      <c r="AQ66" s="8">
        <f t="shared" si="15"/>
        <v>-39.5</v>
      </c>
      <c r="AR66" s="59">
        <v>45988</v>
      </c>
      <c r="AS66" s="60">
        <v>0.57499999999999996</v>
      </c>
      <c r="AT66" s="8" t="s">
        <v>69</v>
      </c>
      <c r="AU66" s="8"/>
      <c r="AV66" s="8">
        <f t="shared" si="16"/>
        <v>0</v>
      </c>
      <c r="AW66" s="8"/>
      <c r="AX66" s="8"/>
      <c r="AY66" s="8"/>
      <c r="AZ66" s="8" t="s">
        <v>37</v>
      </c>
    </row>
    <row r="67" spans="1:52" s="17" customFormat="1" ht="14" customHeight="1" x14ac:dyDescent="0.2">
      <c r="A67" s="8" t="s">
        <v>522</v>
      </c>
      <c r="B67" s="8">
        <v>46.70608</v>
      </c>
      <c r="C67" s="8">
        <v>-71.064229999999995</v>
      </c>
      <c r="D67" s="8" t="s">
        <v>256</v>
      </c>
      <c r="E67" s="26" t="s">
        <v>252</v>
      </c>
      <c r="F67" s="8" t="s">
        <v>253</v>
      </c>
      <c r="G67" s="8" t="s">
        <v>398</v>
      </c>
      <c r="H67" s="8" t="s">
        <v>251</v>
      </c>
      <c r="I67" s="8"/>
      <c r="J67" s="56">
        <v>42564</v>
      </c>
      <c r="K67" s="8" t="s">
        <v>255</v>
      </c>
      <c r="L67" s="8">
        <v>140</v>
      </c>
      <c r="M67" s="8">
        <v>140</v>
      </c>
      <c r="N67" s="8">
        <v>1</v>
      </c>
      <c r="O67" s="8">
        <v>-1400</v>
      </c>
      <c r="P67" s="8">
        <v>1839</v>
      </c>
      <c r="Q67" s="8"/>
      <c r="R67" s="57">
        <v>45780.708333333336</v>
      </c>
      <c r="S67" s="57">
        <v>45988.416678240741</v>
      </c>
      <c r="T67" s="8"/>
      <c r="U67" s="8"/>
      <c r="V67" s="8"/>
      <c r="W67" s="8"/>
      <c r="X67" s="8"/>
      <c r="Y67" s="8"/>
      <c r="Z67" s="8"/>
      <c r="AA67" s="58">
        <v>20.033333333333335</v>
      </c>
      <c r="AB67" s="58">
        <v>20.033333333333335</v>
      </c>
      <c r="AC67" s="42">
        <v>0</v>
      </c>
      <c r="AD67" s="42">
        <v>0</v>
      </c>
      <c r="AE67" s="42">
        <v>0</v>
      </c>
      <c r="AF67" s="8">
        <v>58</v>
      </c>
      <c r="AG67" s="8">
        <f t="shared" si="11"/>
        <v>-58</v>
      </c>
      <c r="AH67" s="59">
        <v>45868</v>
      </c>
      <c r="AI67" s="60">
        <v>0.57778935185185187</v>
      </c>
      <c r="AJ67" s="8" t="s">
        <v>63</v>
      </c>
      <c r="AK67" s="8">
        <v>87.5</v>
      </c>
      <c r="AL67" s="8">
        <f t="shared" si="12"/>
        <v>-87.5</v>
      </c>
      <c r="AM67" s="29">
        <v>45918</v>
      </c>
      <c r="AN67" s="60">
        <v>0.63541666666666663</v>
      </c>
      <c r="AO67" s="8" t="s">
        <v>69</v>
      </c>
      <c r="AP67" s="8">
        <v>87.5</v>
      </c>
      <c r="AQ67" s="8">
        <f t="shared" si="15"/>
        <v>-87.5</v>
      </c>
      <c r="AR67" s="59">
        <v>45946</v>
      </c>
      <c r="AS67" s="60">
        <v>0.48194444444444445</v>
      </c>
      <c r="AT67" s="8" t="s">
        <v>69</v>
      </c>
      <c r="AU67" s="8">
        <v>48.5</v>
      </c>
      <c r="AV67" s="8">
        <f t="shared" si="16"/>
        <v>-48.5</v>
      </c>
      <c r="AW67" s="59">
        <v>45988</v>
      </c>
      <c r="AX67" s="60">
        <v>0.43611111111111112</v>
      </c>
      <c r="AY67" s="8" t="s">
        <v>69</v>
      </c>
      <c r="AZ67" s="8" t="s">
        <v>37</v>
      </c>
    </row>
    <row r="68" spans="1:52" s="17" customFormat="1" ht="14" customHeight="1" x14ac:dyDescent="0.2">
      <c r="A68" s="8" t="s">
        <v>522</v>
      </c>
      <c r="B68" s="8">
        <v>46.70608</v>
      </c>
      <c r="C68" s="8">
        <v>-71.064229999999995</v>
      </c>
      <c r="D68" s="8" t="s">
        <v>256</v>
      </c>
      <c r="E68" s="26" t="s">
        <v>252</v>
      </c>
      <c r="F68" s="8" t="s">
        <v>253</v>
      </c>
      <c r="G68" s="8" t="s">
        <v>398</v>
      </c>
      <c r="H68" s="8" t="s">
        <v>251</v>
      </c>
      <c r="I68" s="8"/>
      <c r="J68" s="56">
        <v>42564</v>
      </c>
      <c r="K68" s="8" t="s">
        <v>255</v>
      </c>
      <c r="L68" s="8">
        <v>20</v>
      </c>
      <c r="M68" s="8">
        <v>140</v>
      </c>
      <c r="N68" s="8">
        <v>2</v>
      </c>
      <c r="O68" s="8">
        <v>-200</v>
      </c>
      <c r="P68" s="8">
        <v>3711</v>
      </c>
      <c r="Q68" s="8"/>
      <c r="R68" s="57">
        <v>45780.708333333336</v>
      </c>
      <c r="S68" s="57">
        <v>45988.416678240741</v>
      </c>
      <c r="T68" s="8"/>
      <c r="U68" s="8"/>
      <c r="V68" s="8"/>
      <c r="W68" s="8"/>
      <c r="X68" s="8"/>
      <c r="Y68" s="8"/>
      <c r="Z68" s="8"/>
      <c r="AA68" s="58">
        <v>20.033333333333335</v>
      </c>
      <c r="AB68" s="58">
        <v>20.033333333333335</v>
      </c>
      <c r="AC68" s="42">
        <v>0</v>
      </c>
      <c r="AD68" s="42">
        <v>0</v>
      </c>
      <c r="AE68" s="42">
        <v>0</v>
      </c>
      <c r="AF68" s="8">
        <v>58</v>
      </c>
      <c r="AG68" s="8">
        <f t="shared" si="11"/>
        <v>-58</v>
      </c>
      <c r="AH68" s="59">
        <v>45868</v>
      </c>
      <c r="AI68" s="60">
        <v>0.57778935185185187</v>
      </c>
      <c r="AJ68" s="8" t="s">
        <v>63</v>
      </c>
      <c r="AK68" s="8">
        <v>87.5</v>
      </c>
      <c r="AL68" s="8">
        <f t="shared" si="12"/>
        <v>-87.5</v>
      </c>
      <c r="AM68" s="29">
        <v>45918</v>
      </c>
      <c r="AN68" s="60">
        <v>0.63541666666666663</v>
      </c>
      <c r="AO68" s="8" t="s">
        <v>69</v>
      </c>
      <c r="AP68" s="8">
        <v>87.5</v>
      </c>
      <c r="AQ68" s="8">
        <f t="shared" si="15"/>
        <v>-87.5</v>
      </c>
      <c r="AR68" s="59">
        <v>45946</v>
      </c>
      <c r="AS68" s="60">
        <v>0.48194444444444445</v>
      </c>
      <c r="AT68" s="8" t="s">
        <v>69</v>
      </c>
      <c r="AU68" s="8">
        <v>48.5</v>
      </c>
      <c r="AV68" s="8">
        <f t="shared" si="16"/>
        <v>-48.5</v>
      </c>
      <c r="AW68" s="59">
        <v>45988</v>
      </c>
      <c r="AX68" s="60">
        <v>0.43611111111111112</v>
      </c>
      <c r="AY68" s="8" t="s">
        <v>69</v>
      </c>
      <c r="AZ68" s="8" t="s">
        <v>37</v>
      </c>
    </row>
    <row r="69" spans="1:52" s="17" customFormat="1" ht="14" customHeight="1" x14ac:dyDescent="0.2">
      <c r="A69" s="8" t="s">
        <v>522</v>
      </c>
      <c r="B69" s="8">
        <v>46.70608</v>
      </c>
      <c r="C69" s="8">
        <v>-71.064229999999995</v>
      </c>
      <c r="D69" s="8" t="s">
        <v>257</v>
      </c>
      <c r="E69" s="26" t="s">
        <v>252</v>
      </c>
      <c r="F69" s="8" t="s">
        <v>253</v>
      </c>
      <c r="G69" s="8" t="s">
        <v>398</v>
      </c>
      <c r="H69" s="8" t="s">
        <v>251</v>
      </c>
      <c r="I69" s="8"/>
      <c r="J69" s="56">
        <v>42564</v>
      </c>
      <c r="K69" s="8" t="s">
        <v>255</v>
      </c>
      <c r="L69" s="8"/>
      <c r="M69" s="8">
        <v>140</v>
      </c>
      <c r="N69" s="8" t="s">
        <v>37</v>
      </c>
      <c r="O69" s="8" t="s">
        <v>37</v>
      </c>
      <c r="P69" s="8"/>
      <c r="Q69" s="8"/>
      <c r="R69" s="57">
        <v>45780.708333333336</v>
      </c>
      <c r="S69" s="57">
        <v>45988.416678240741</v>
      </c>
      <c r="T69" s="8"/>
      <c r="U69" s="8"/>
      <c r="V69" s="8"/>
      <c r="W69" s="8"/>
      <c r="X69" s="8"/>
      <c r="Y69" s="8"/>
      <c r="Z69" s="8"/>
      <c r="AA69" s="58">
        <v>20.033333333333335</v>
      </c>
      <c r="AB69" s="58">
        <v>20.033333333333335</v>
      </c>
      <c r="AC69" s="42">
        <v>0</v>
      </c>
      <c r="AD69" s="42">
        <v>0</v>
      </c>
      <c r="AE69" s="42">
        <v>0</v>
      </c>
      <c r="AF69" s="8">
        <v>58</v>
      </c>
      <c r="AG69" s="8">
        <f t="shared" ref="AG69" si="17">AF69*-1</f>
        <v>-58</v>
      </c>
      <c r="AH69" s="59">
        <v>45868</v>
      </c>
      <c r="AI69" s="60">
        <v>0.57778935185185187</v>
      </c>
      <c r="AJ69" s="8" t="s">
        <v>63</v>
      </c>
      <c r="AK69" s="8">
        <v>87.5</v>
      </c>
      <c r="AL69" s="8">
        <f t="shared" si="12"/>
        <v>-87.5</v>
      </c>
      <c r="AM69" s="29">
        <v>45918</v>
      </c>
      <c r="AN69" s="60">
        <v>0.63541666666666663</v>
      </c>
      <c r="AO69" s="8" t="s">
        <v>69</v>
      </c>
      <c r="AP69" s="8">
        <v>87.5</v>
      </c>
      <c r="AQ69" s="8">
        <f t="shared" si="15"/>
        <v>-87.5</v>
      </c>
      <c r="AR69" s="59">
        <v>45946</v>
      </c>
      <c r="AS69" s="60">
        <v>0.48194444444444445</v>
      </c>
      <c r="AT69" s="8" t="s">
        <v>69</v>
      </c>
      <c r="AU69" s="8">
        <v>48.5</v>
      </c>
      <c r="AV69" s="8">
        <f t="shared" si="16"/>
        <v>-48.5</v>
      </c>
      <c r="AW69" s="59">
        <v>45988</v>
      </c>
      <c r="AX69" s="60">
        <v>0.43611111111111112</v>
      </c>
      <c r="AY69" s="8" t="s">
        <v>69</v>
      </c>
      <c r="AZ69" s="8" t="s">
        <v>37</v>
      </c>
    </row>
    <row r="70" spans="1:52" s="17" customFormat="1" ht="14" customHeight="1" x14ac:dyDescent="0.15">
      <c r="A70" s="26" t="s">
        <v>290</v>
      </c>
      <c r="B70" s="28"/>
      <c r="C70" s="28"/>
      <c r="D70" s="26" t="s">
        <v>37</v>
      </c>
      <c r="E70" s="26" t="s">
        <v>252</v>
      </c>
      <c r="F70" s="26" t="s">
        <v>77</v>
      </c>
      <c r="G70" s="17" t="s">
        <v>291</v>
      </c>
      <c r="H70" s="26" t="s">
        <v>292</v>
      </c>
      <c r="I70" s="26">
        <v>10</v>
      </c>
      <c r="J70" s="45">
        <v>10279769</v>
      </c>
      <c r="K70" s="26" t="s">
        <v>419</v>
      </c>
      <c r="L70" s="26" t="s">
        <v>37</v>
      </c>
      <c r="M70" s="26">
        <v>170.7</v>
      </c>
      <c r="N70" s="26" t="s">
        <v>37</v>
      </c>
      <c r="O70" s="26" t="s">
        <v>37</v>
      </c>
      <c r="P70" s="26" t="s">
        <v>37</v>
      </c>
      <c r="Q70" s="26" t="s">
        <v>293</v>
      </c>
      <c r="R70" s="47">
        <v>45480.416666666664</v>
      </c>
      <c r="S70" s="47">
        <v>45615.416666666664</v>
      </c>
      <c r="T70" s="27"/>
      <c r="U70" s="27"/>
      <c r="V70" s="27"/>
      <c r="W70" s="27"/>
      <c r="X70" s="27"/>
      <c r="Y70" s="27"/>
      <c r="Z70" s="27"/>
      <c r="AA70" s="26">
        <v>68.25</v>
      </c>
      <c r="AB70" s="26">
        <v>68.25</v>
      </c>
      <c r="AC70" s="43">
        <v>0</v>
      </c>
      <c r="AD70" s="43">
        <v>0</v>
      </c>
      <c r="AE70" s="43">
        <v>0</v>
      </c>
      <c r="AF70" s="26">
        <v>113</v>
      </c>
      <c r="AG70" s="26">
        <v>-113</v>
      </c>
      <c r="AH70" s="29">
        <v>45479</v>
      </c>
      <c r="AI70" s="31">
        <v>0.54167824074074078</v>
      </c>
      <c r="AJ70" s="26" t="s">
        <v>294</v>
      </c>
      <c r="AK70" s="26"/>
      <c r="AL70" s="17">
        <f t="shared" si="12"/>
        <v>0</v>
      </c>
      <c r="AM70" s="26"/>
      <c r="AN70" s="26"/>
      <c r="AO70" s="26"/>
      <c r="AP70" s="26"/>
      <c r="AQ70" s="17">
        <f t="shared" si="15"/>
        <v>0</v>
      </c>
      <c r="AR70" s="26"/>
      <c r="AS70" s="26"/>
      <c r="AT70" s="26"/>
      <c r="AU70" s="26"/>
      <c r="AV70" s="17">
        <f t="shared" si="16"/>
        <v>0</v>
      </c>
      <c r="AW70" s="26"/>
      <c r="AX70" s="26"/>
      <c r="AY70" s="26"/>
      <c r="AZ70" s="26">
        <v>6915</v>
      </c>
    </row>
    <row r="71" spans="1:52" s="17" customFormat="1" ht="16" customHeight="1" x14ac:dyDescent="0.15">
      <c r="A71" s="26" t="s">
        <v>295</v>
      </c>
      <c r="B71" s="28"/>
      <c r="C71" s="28"/>
      <c r="D71" s="26" t="s">
        <v>37</v>
      </c>
      <c r="E71" s="26" t="s">
        <v>252</v>
      </c>
      <c r="F71" s="26" t="s">
        <v>77</v>
      </c>
      <c r="G71" s="17" t="s">
        <v>296</v>
      </c>
      <c r="H71" s="26" t="s">
        <v>297</v>
      </c>
      <c r="I71" s="26">
        <v>18</v>
      </c>
      <c r="J71" s="45">
        <v>10279777</v>
      </c>
      <c r="K71" s="26" t="s">
        <v>419</v>
      </c>
      <c r="L71" s="26" t="s">
        <v>37</v>
      </c>
      <c r="M71" s="26">
        <v>155.69999999999999</v>
      </c>
      <c r="N71" s="26" t="s">
        <v>37</v>
      </c>
      <c r="O71" s="26" t="s">
        <v>37</v>
      </c>
      <c r="P71" s="26" t="s">
        <v>37</v>
      </c>
      <c r="Q71" s="26" t="s">
        <v>298</v>
      </c>
      <c r="R71" s="47">
        <v>45482.400694444441</v>
      </c>
      <c r="S71" s="47">
        <v>45615.416666666664</v>
      </c>
      <c r="T71" s="27"/>
      <c r="U71" s="27"/>
      <c r="V71" s="27"/>
      <c r="W71" s="27"/>
      <c r="X71" s="27"/>
      <c r="Y71" s="27"/>
      <c r="Z71" s="27"/>
      <c r="AA71" s="26">
        <v>62.46</v>
      </c>
      <c r="AB71" s="26">
        <v>62.46</v>
      </c>
      <c r="AC71" s="43">
        <v>0</v>
      </c>
      <c r="AD71" s="43">
        <v>0</v>
      </c>
      <c r="AE71" s="43">
        <v>0</v>
      </c>
      <c r="AF71" s="26">
        <v>180.5</v>
      </c>
      <c r="AG71" s="26">
        <v>-180.5</v>
      </c>
      <c r="AH71" s="29">
        <v>45615</v>
      </c>
      <c r="AI71" s="31">
        <v>0.41667824074074072</v>
      </c>
      <c r="AJ71" s="26" t="s">
        <v>69</v>
      </c>
      <c r="AK71" s="26"/>
      <c r="AL71" s="17">
        <f t="shared" si="12"/>
        <v>0</v>
      </c>
      <c r="AM71" s="29">
        <v>45481</v>
      </c>
      <c r="AN71" s="31">
        <v>0.4007060185185185</v>
      </c>
      <c r="AO71" s="26" t="s">
        <v>294</v>
      </c>
      <c r="AP71" s="26"/>
      <c r="AQ71" s="17">
        <f t="shared" si="15"/>
        <v>0</v>
      </c>
      <c r="AR71" s="26"/>
      <c r="AS71" s="26"/>
      <c r="AT71" s="26"/>
      <c r="AU71" s="26"/>
      <c r="AV71" s="17">
        <f t="shared" si="16"/>
        <v>0</v>
      </c>
      <c r="AW71" s="26"/>
      <c r="AX71" s="26"/>
      <c r="AY71" s="26"/>
      <c r="AZ71" s="26">
        <v>6915</v>
      </c>
    </row>
    <row r="72" spans="1:52" s="17" customFormat="1" ht="14" customHeight="1" x14ac:dyDescent="0.15">
      <c r="A72" s="26" t="s">
        <v>299</v>
      </c>
      <c r="B72" s="28">
        <v>47.625349999999997</v>
      </c>
      <c r="C72" s="28">
        <v>-64.819519999999997</v>
      </c>
      <c r="D72" s="26" t="s">
        <v>37</v>
      </c>
      <c r="E72" s="26" t="s">
        <v>252</v>
      </c>
      <c r="F72" s="26" t="s">
        <v>77</v>
      </c>
      <c r="G72" s="17" t="s">
        <v>300</v>
      </c>
      <c r="H72" s="26" t="s">
        <v>109</v>
      </c>
      <c r="I72" s="26" t="s">
        <v>37</v>
      </c>
      <c r="J72" s="45">
        <v>20573974</v>
      </c>
      <c r="K72" s="26" t="s">
        <v>419</v>
      </c>
      <c r="L72" s="26" t="s">
        <v>37</v>
      </c>
      <c r="M72" s="26">
        <v>139.69999999999999</v>
      </c>
      <c r="N72" s="26" t="s">
        <v>37</v>
      </c>
      <c r="O72" s="26" t="s">
        <v>37</v>
      </c>
      <c r="P72" s="26" t="s">
        <v>37</v>
      </c>
      <c r="Q72" s="26" t="s">
        <v>301</v>
      </c>
      <c r="R72" s="47">
        <v>45504.416666666664</v>
      </c>
      <c r="S72" s="47">
        <v>45615.416666666664</v>
      </c>
      <c r="T72" s="27"/>
      <c r="U72" s="27"/>
      <c r="V72" s="27"/>
      <c r="W72" s="27"/>
      <c r="X72" s="27"/>
      <c r="Y72" s="27"/>
      <c r="Z72" s="27"/>
      <c r="AA72" s="26">
        <v>15.9</v>
      </c>
      <c r="AB72" s="26">
        <v>15.9</v>
      </c>
      <c r="AC72" s="43">
        <v>0</v>
      </c>
      <c r="AD72" s="43">
        <v>0</v>
      </c>
      <c r="AE72" s="43">
        <v>0</v>
      </c>
      <c r="AF72" s="26">
        <v>103.5</v>
      </c>
      <c r="AG72" s="26">
        <v>-103.5</v>
      </c>
      <c r="AH72" s="29">
        <v>45502</v>
      </c>
      <c r="AI72" s="31">
        <v>0.41806712962962961</v>
      </c>
      <c r="AJ72" s="26" t="s">
        <v>302</v>
      </c>
      <c r="AK72" s="26"/>
      <c r="AL72" s="17">
        <f t="shared" si="12"/>
        <v>0</v>
      </c>
      <c r="AM72" s="26"/>
      <c r="AN72" s="26"/>
      <c r="AO72" s="26"/>
      <c r="AP72" s="26"/>
      <c r="AQ72" s="17">
        <f t="shared" si="15"/>
        <v>0</v>
      </c>
      <c r="AR72" s="26"/>
      <c r="AS72" s="26"/>
      <c r="AT72" s="26"/>
      <c r="AU72" s="26"/>
      <c r="AV72" s="17">
        <f t="shared" si="16"/>
        <v>0</v>
      </c>
      <c r="AW72" s="26"/>
      <c r="AX72" s="26"/>
      <c r="AY72" s="26"/>
      <c r="AZ72" s="26">
        <v>6915</v>
      </c>
    </row>
    <row r="73" spans="1:52" s="17" customFormat="1" ht="16" customHeight="1" x14ac:dyDescent="0.15">
      <c r="A73" s="26" t="s">
        <v>303</v>
      </c>
      <c r="B73" s="28">
        <v>47.625430000000001</v>
      </c>
      <c r="C73" s="28">
        <v>-64.819509999999994</v>
      </c>
      <c r="D73" s="26" t="s">
        <v>37</v>
      </c>
      <c r="E73" s="26" t="s">
        <v>252</v>
      </c>
      <c r="F73" s="26" t="s">
        <v>77</v>
      </c>
      <c r="G73" s="17" t="s">
        <v>304</v>
      </c>
      <c r="H73" s="26" t="s">
        <v>114</v>
      </c>
      <c r="I73" s="26">
        <v>34</v>
      </c>
      <c r="J73" s="45">
        <v>20853328</v>
      </c>
      <c r="K73" s="26" t="s">
        <v>419</v>
      </c>
      <c r="L73" s="26" t="s">
        <v>37</v>
      </c>
      <c r="M73" s="26">
        <v>142.1</v>
      </c>
      <c r="N73" s="26" t="s">
        <v>37</v>
      </c>
      <c r="O73" s="26" t="s">
        <v>37</v>
      </c>
      <c r="P73" s="26" t="s">
        <v>37</v>
      </c>
      <c r="Q73" s="26" t="s">
        <v>305</v>
      </c>
      <c r="R73" s="47">
        <v>45502.416666666664</v>
      </c>
      <c r="S73" s="47">
        <v>45615.416666666664</v>
      </c>
      <c r="T73" s="27"/>
      <c r="U73" s="27"/>
      <c r="V73" s="27"/>
      <c r="W73" s="27"/>
      <c r="X73" s="27"/>
      <c r="Y73" s="27"/>
      <c r="Z73" s="27"/>
      <c r="AA73" s="26">
        <v>29.8</v>
      </c>
      <c r="AB73" s="26">
        <v>29.8</v>
      </c>
      <c r="AC73" s="43">
        <v>0</v>
      </c>
      <c r="AD73" s="43">
        <v>0</v>
      </c>
      <c r="AE73" s="43">
        <v>0</v>
      </c>
      <c r="AF73" s="26">
        <v>133.4</v>
      </c>
      <c r="AG73" s="26">
        <v>-133.4</v>
      </c>
      <c r="AH73" s="29">
        <v>45502</v>
      </c>
      <c r="AI73" s="31">
        <v>0.41667824074074072</v>
      </c>
      <c r="AJ73" s="26" t="s">
        <v>302</v>
      </c>
      <c r="AK73" s="26">
        <v>76</v>
      </c>
      <c r="AL73" s="17">
        <f t="shared" si="12"/>
        <v>-76</v>
      </c>
      <c r="AM73" s="29">
        <v>45615</v>
      </c>
      <c r="AN73" s="31">
        <v>0.41667824074074072</v>
      </c>
      <c r="AO73" s="26" t="s">
        <v>69</v>
      </c>
      <c r="AP73" s="26"/>
      <c r="AQ73" s="17">
        <f t="shared" si="15"/>
        <v>0</v>
      </c>
      <c r="AR73" s="26"/>
      <c r="AS73" s="26"/>
      <c r="AT73" s="26"/>
      <c r="AU73" s="26"/>
      <c r="AV73" s="17">
        <f t="shared" si="16"/>
        <v>0</v>
      </c>
      <c r="AW73" s="26"/>
      <c r="AX73" s="26"/>
      <c r="AY73" s="26"/>
      <c r="AZ73" s="26">
        <v>6915</v>
      </c>
    </row>
    <row r="74" spans="1:52" s="17" customFormat="1" ht="14" customHeight="1" x14ac:dyDescent="0.15">
      <c r="A74" s="26" t="s">
        <v>303</v>
      </c>
      <c r="B74" s="28">
        <v>47.625430000000001</v>
      </c>
      <c r="C74" s="28">
        <v>-64.819509999999994</v>
      </c>
      <c r="D74" s="26" t="s">
        <v>37</v>
      </c>
      <c r="E74" s="26" t="s">
        <v>252</v>
      </c>
      <c r="F74" s="26" t="s">
        <v>77</v>
      </c>
      <c r="G74" s="17" t="s">
        <v>304</v>
      </c>
      <c r="H74" s="26" t="s">
        <v>114</v>
      </c>
      <c r="I74" s="26">
        <v>34</v>
      </c>
      <c r="J74" s="45">
        <v>20853328</v>
      </c>
      <c r="K74" s="26" t="s">
        <v>419</v>
      </c>
      <c r="L74" s="26" t="s">
        <v>37</v>
      </c>
      <c r="M74" s="26">
        <v>170.7</v>
      </c>
      <c r="N74" s="26" t="s">
        <v>37</v>
      </c>
      <c r="O74" s="26" t="s">
        <v>37</v>
      </c>
      <c r="P74" s="26" t="s">
        <v>37</v>
      </c>
      <c r="Q74" s="26" t="s">
        <v>306</v>
      </c>
      <c r="R74" s="47">
        <v>45480.541666666664</v>
      </c>
      <c r="S74" s="47">
        <v>45498.541666666664</v>
      </c>
      <c r="T74" s="27"/>
      <c r="U74" s="27"/>
      <c r="V74" s="27"/>
      <c r="W74" s="27"/>
      <c r="X74" s="27"/>
      <c r="Y74" s="27"/>
      <c r="Z74" s="27"/>
      <c r="AA74" s="26">
        <v>93</v>
      </c>
      <c r="AB74" s="26">
        <v>93</v>
      </c>
      <c r="AC74" s="43">
        <v>0</v>
      </c>
      <c r="AD74" s="43">
        <v>0</v>
      </c>
      <c r="AE74" s="43">
        <v>0</v>
      </c>
      <c r="AF74" s="26">
        <v>127</v>
      </c>
      <c r="AG74" s="26">
        <v>-127</v>
      </c>
      <c r="AH74" s="29">
        <v>45480</v>
      </c>
      <c r="AI74" s="31">
        <v>0.54167824074074078</v>
      </c>
      <c r="AJ74" s="26" t="s">
        <v>294</v>
      </c>
      <c r="AK74" s="26"/>
      <c r="AL74" s="17">
        <f t="shared" si="12"/>
        <v>0</v>
      </c>
      <c r="AM74" s="26"/>
      <c r="AN74" s="26"/>
      <c r="AO74" s="26"/>
      <c r="AP74" s="26"/>
      <c r="AQ74" s="17">
        <f t="shared" si="15"/>
        <v>0</v>
      </c>
      <c r="AR74" s="26"/>
      <c r="AS74" s="26"/>
      <c r="AT74" s="26"/>
      <c r="AU74" s="26"/>
      <c r="AV74" s="17">
        <f t="shared" si="16"/>
        <v>0</v>
      </c>
      <c r="AW74" s="26"/>
      <c r="AX74" s="26"/>
      <c r="AY74" s="26"/>
      <c r="AZ74" s="26">
        <v>6915</v>
      </c>
    </row>
    <row r="75" spans="1:52" ht="16" customHeight="1" x14ac:dyDescent="0.15">
      <c r="A75" s="17" t="s">
        <v>515</v>
      </c>
      <c r="B75" s="32">
        <v>47.627119999999998</v>
      </c>
      <c r="C75" s="33" t="s">
        <v>224</v>
      </c>
      <c r="D75" s="17" t="s">
        <v>37</v>
      </c>
      <c r="E75" s="26" t="s">
        <v>252</v>
      </c>
      <c r="F75" s="87" t="s">
        <v>77</v>
      </c>
      <c r="G75" s="37" t="s">
        <v>225</v>
      </c>
      <c r="H75" s="26" t="s">
        <v>226</v>
      </c>
      <c r="I75" s="26" t="s">
        <v>37</v>
      </c>
      <c r="J75" s="45">
        <v>22063137</v>
      </c>
      <c r="K75" s="26" t="s">
        <v>418</v>
      </c>
      <c r="M75" s="26">
        <v>138.1</v>
      </c>
      <c r="N75" s="26" t="s">
        <v>37</v>
      </c>
      <c r="O75" s="26" t="s">
        <v>37</v>
      </c>
      <c r="P75" s="26" t="s">
        <v>37</v>
      </c>
      <c r="Q75" s="26" t="s">
        <v>227</v>
      </c>
      <c r="R75" s="48" t="s">
        <v>228</v>
      </c>
      <c r="S75" s="48">
        <v>45974.541678240741</v>
      </c>
      <c r="AA75" s="30">
        <v>37.666666666666664</v>
      </c>
      <c r="AB75" s="96">
        <v>37.666666666666664</v>
      </c>
      <c r="AC75" s="44">
        <v>0</v>
      </c>
      <c r="AD75" s="44">
        <v>0</v>
      </c>
      <c r="AE75" s="44">
        <v>0</v>
      </c>
      <c r="AF75" s="17">
        <v>133.5</v>
      </c>
      <c r="AG75" s="17">
        <f>AF75*-1</f>
        <v>-133.5</v>
      </c>
      <c r="AH75" s="29">
        <v>45859</v>
      </c>
      <c r="AI75" s="31">
        <v>0.60556712962962966</v>
      </c>
      <c r="AJ75" s="17" t="s">
        <v>212</v>
      </c>
      <c r="AK75" s="26">
        <v>102</v>
      </c>
      <c r="AL75" s="17">
        <f t="shared" si="12"/>
        <v>-102</v>
      </c>
      <c r="AM75" s="38">
        <v>45974</v>
      </c>
      <c r="AN75" s="39">
        <v>0.54652777777777783</v>
      </c>
      <c r="AO75" s="17" t="s">
        <v>69</v>
      </c>
      <c r="AQ75" s="17">
        <f t="shared" si="15"/>
        <v>0</v>
      </c>
      <c r="AV75" s="17">
        <f t="shared" si="16"/>
        <v>0</v>
      </c>
      <c r="AZ75" s="26">
        <v>6915</v>
      </c>
    </row>
    <row r="76" spans="1:52" ht="14" customHeight="1" x14ac:dyDescent="0.15">
      <c r="A76" s="17" t="s">
        <v>497</v>
      </c>
      <c r="B76" s="32">
        <v>47.627220000000001</v>
      </c>
      <c r="C76" s="33" t="s">
        <v>215</v>
      </c>
      <c r="D76" s="17" t="s">
        <v>37</v>
      </c>
      <c r="E76" s="26" t="s">
        <v>252</v>
      </c>
      <c r="F76" s="87" t="s">
        <v>77</v>
      </c>
      <c r="G76" s="37" t="s">
        <v>216</v>
      </c>
      <c r="H76" s="26" t="s">
        <v>217</v>
      </c>
      <c r="I76" s="26" t="s">
        <v>37</v>
      </c>
      <c r="J76" s="45">
        <v>22063138</v>
      </c>
      <c r="K76" s="26" t="s">
        <v>418</v>
      </c>
      <c r="M76" s="26">
        <v>137</v>
      </c>
      <c r="N76" s="26" t="s">
        <v>37</v>
      </c>
      <c r="O76" s="26" t="s">
        <v>37</v>
      </c>
      <c r="P76" s="26" t="s">
        <v>37</v>
      </c>
      <c r="Q76" s="26" t="s">
        <v>218</v>
      </c>
      <c r="R76" s="48" t="s">
        <v>219</v>
      </c>
      <c r="S76" s="48">
        <v>45974.541678240741</v>
      </c>
      <c r="AA76" s="30">
        <v>47.5</v>
      </c>
      <c r="AB76" s="30">
        <v>47.5</v>
      </c>
      <c r="AC76" s="44">
        <v>0</v>
      </c>
      <c r="AD76" s="44">
        <v>0</v>
      </c>
      <c r="AE76" s="44">
        <v>0</v>
      </c>
      <c r="AF76" s="17">
        <v>135.80000000000001</v>
      </c>
      <c r="AG76" s="17">
        <f>AF76*-1</f>
        <v>-135.80000000000001</v>
      </c>
      <c r="AH76" s="29">
        <v>45859</v>
      </c>
      <c r="AI76" s="31">
        <v>0.59515046296296303</v>
      </c>
      <c r="AJ76" s="17" t="s">
        <v>212</v>
      </c>
      <c r="AK76" s="26">
        <v>108.5</v>
      </c>
      <c r="AL76" s="17">
        <f t="shared" si="12"/>
        <v>-108.5</v>
      </c>
      <c r="AM76" s="38">
        <v>45974</v>
      </c>
      <c r="AN76" s="39">
        <v>0.54652777777777783</v>
      </c>
      <c r="AO76" s="17" t="s">
        <v>69</v>
      </c>
      <c r="AQ76" s="17">
        <f t="shared" si="15"/>
        <v>0</v>
      </c>
      <c r="AR76" s="38"/>
      <c r="AS76" s="39"/>
      <c r="AT76" s="17"/>
      <c r="AV76" s="17">
        <f t="shared" si="16"/>
        <v>0</v>
      </c>
      <c r="AZ76" s="26">
        <v>6915</v>
      </c>
    </row>
    <row r="77" spans="1:52" s="17" customFormat="1" ht="16" customHeight="1" x14ac:dyDescent="0.15">
      <c r="A77" s="17" t="s">
        <v>243</v>
      </c>
      <c r="B77" s="32">
        <v>47.623199999999997</v>
      </c>
      <c r="C77" s="33" t="s">
        <v>244</v>
      </c>
      <c r="D77" s="17" t="s">
        <v>37</v>
      </c>
      <c r="E77" s="26" t="s">
        <v>252</v>
      </c>
      <c r="F77" s="17" t="s">
        <v>77</v>
      </c>
      <c r="G77" s="17" t="s">
        <v>245</v>
      </c>
      <c r="H77" s="17" t="s">
        <v>246</v>
      </c>
      <c r="I77" s="26" t="s">
        <v>37</v>
      </c>
      <c r="J77" s="46">
        <v>22063139</v>
      </c>
      <c r="K77" s="26" t="s">
        <v>419</v>
      </c>
      <c r="M77" s="17">
        <f>(100+98.5)/2</f>
        <v>99.25</v>
      </c>
      <c r="N77" s="26" t="s">
        <v>37</v>
      </c>
      <c r="O77" s="26" t="s">
        <v>37</v>
      </c>
      <c r="Q77" s="17" t="s">
        <v>247</v>
      </c>
      <c r="R77" s="48" t="s">
        <v>248</v>
      </c>
      <c r="S77" s="48" t="s">
        <v>249</v>
      </c>
      <c r="T77" s="35"/>
      <c r="U77" s="35"/>
      <c r="V77" s="35"/>
      <c r="W77" s="35"/>
      <c r="X77" s="35"/>
      <c r="Y77" s="35"/>
      <c r="Z77" s="35"/>
      <c r="AA77" s="36">
        <f>AB77-((AC77+AD77+AE77)/3)</f>
        <v>48.16666</v>
      </c>
      <c r="AB77" s="36">
        <v>48.16666</v>
      </c>
      <c r="AC77" s="44">
        <v>0</v>
      </c>
      <c r="AD77" s="44">
        <v>0</v>
      </c>
      <c r="AE77" s="44">
        <v>0</v>
      </c>
      <c r="AF77" s="17">
        <v>81.5</v>
      </c>
      <c r="AG77" s="17">
        <f>AF77*-1</f>
        <v>-81.5</v>
      </c>
      <c r="AH77" s="38">
        <v>45792</v>
      </c>
      <c r="AI77" s="39">
        <v>0.37501157407407404</v>
      </c>
      <c r="AJ77" s="17" t="s">
        <v>69</v>
      </c>
      <c r="AL77" s="17">
        <f t="shared" si="12"/>
        <v>0</v>
      </c>
      <c r="AQ77" s="17">
        <f t="shared" si="15"/>
        <v>0</v>
      </c>
      <c r="AV77" s="17">
        <f t="shared" si="16"/>
        <v>0</v>
      </c>
      <c r="AZ77" s="26">
        <v>6915</v>
      </c>
    </row>
    <row r="78" spans="1:52" s="17" customFormat="1" ht="14" customHeight="1" x14ac:dyDescent="0.15">
      <c r="A78" s="17" t="s">
        <v>485</v>
      </c>
      <c r="B78" s="32">
        <v>47.623370000000001</v>
      </c>
      <c r="C78" s="33" t="s">
        <v>153</v>
      </c>
      <c r="D78" s="17" t="s">
        <v>37</v>
      </c>
      <c r="E78" s="26" t="s">
        <v>252</v>
      </c>
      <c r="F78" s="17" t="s">
        <v>77</v>
      </c>
      <c r="G78" s="17" t="s">
        <v>154</v>
      </c>
      <c r="H78" s="17" t="s">
        <v>151</v>
      </c>
      <c r="I78" s="26" t="s">
        <v>37</v>
      </c>
      <c r="J78" s="46">
        <v>22063140</v>
      </c>
      <c r="K78" s="26" t="s">
        <v>418</v>
      </c>
      <c r="M78" s="17">
        <v>135.19999999999999</v>
      </c>
      <c r="N78" s="26" t="s">
        <v>37</v>
      </c>
      <c r="O78" s="26" t="s">
        <v>37</v>
      </c>
      <c r="P78" s="26" t="s">
        <v>37</v>
      </c>
      <c r="R78" s="48" t="s">
        <v>152</v>
      </c>
      <c r="S78" s="34">
        <v>45974.5</v>
      </c>
      <c r="T78" s="40"/>
      <c r="U78" s="40"/>
      <c r="V78" s="40"/>
      <c r="W78" s="40"/>
      <c r="X78" s="40"/>
      <c r="Y78" s="40"/>
      <c r="Z78" s="40"/>
      <c r="AA78" s="30">
        <v>28.783333333333331</v>
      </c>
      <c r="AB78" s="30">
        <v>28.783333333333331</v>
      </c>
      <c r="AC78" s="43">
        <v>0</v>
      </c>
      <c r="AD78" s="43">
        <v>0</v>
      </c>
      <c r="AE78" s="43">
        <v>0</v>
      </c>
      <c r="AF78" s="17">
        <v>70.599999999999994</v>
      </c>
      <c r="AG78" s="17">
        <f>AF78*-1</f>
        <v>-70.599999999999994</v>
      </c>
      <c r="AH78" s="29">
        <v>45859</v>
      </c>
      <c r="AI78" s="31">
        <v>0.63820601851851855</v>
      </c>
      <c r="AJ78" s="17" t="s">
        <v>45</v>
      </c>
      <c r="AK78" s="17">
        <v>61</v>
      </c>
      <c r="AL78" s="17">
        <f t="shared" si="12"/>
        <v>-61</v>
      </c>
      <c r="AM78" s="38">
        <v>45974</v>
      </c>
      <c r="AN78" s="39">
        <v>0.53263888888888888</v>
      </c>
      <c r="AO78" s="17" t="s">
        <v>69</v>
      </c>
      <c r="AQ78" s="17">
        <f t="shared" si="15"/>
        <v>0</v>
      </c>
      <c r="AV78" s="17">
        <f t="shared" si="16"/>
        <v>0</v>
      </c>
      <c r="AZ78" s="26">
        <v>6915</v>
      </c>
    </row>
    <row r="79" spans="1:52" ht="16" customHeight="1" x14ac:dyDescent="0.15">
      <c r="A79" s="17" t="s">
        <v>488</v>
      </c>
      <c r="B79" s="32">
        <v>47.627040000000001</v>
      </c>
      <c r="C79" s="33" t="s">
        <v>220</v>
      </c>
      <c r="D79" s="17" t="s">
        <v>37</v>
      </c>
      <c r="E79" s="26" t="s">
        <v>252</v>
      </c>
      <c r="F79" s="87" t="s">
        <v>77</v>
      </c>
      <c r="G79" s="37" t="s">
        <v>221</v>
      </c>
      <c r="H79" s="26" t="s">
        <v>217</v>
      </c>
      <c r="I79" s="26" t="s">
        <v>37</v>
      </c>
      <c r="J79" s="45">
        <v>22063143</v>
      </c>
      <c r="K79" s="26" t="s">
        <v>418</v>
      </c>
      <c r="M79" s="26">
        <v>155.5</v>
      </c>
      <c r="N79" s="26" t="s">
        <v>37</v>
      </c>
      <c r="O79" s="26" t="s">
        <v>37</v>
      </c>
      <c r="P79" s="26" t="s">
        <v>37</v>
      </c>
      <c r="Q79" s="103" t="s">
        <v>446</v>
      </c>
      <c r="R79" s="48" t="s">
        <v>219</v>
      </c>
      <c r="S79" s="48">
        <v>45974.541678240741</v>
      </c>
      <c r="AA79" s="30">
        <v>21.483333333333334</v>
      </c>
      <c r="AB79" s="30">
        <v>21.483333333333334</v>
      </c>
      <c r="AC79" s="44">
        <v>0</v>
      </c>
      <c r="AD79" s="44">
        <v>0</v>
      </c>
      <c r="AE79" s="44">
        <v>0</v>
      </c>
      <c r="AF79" s="17">
        <v>34.6</v>
      </c>
      <c r="AG79" s="17">
        <f>AF79*-1</f>
        <v>-34.6</v>
      </c>
      <c r="AH79" s="29">
        <v>45859</v>
      </c>
      <c r="AI79" s="31">
        <v>0.58959490740740739</v>
      </c>
      <c r="AJ79" s="17" t="s">
        <v>212</v>
      </c>
      <c r="AK79" s="26">
        <v>163</v>
      </c>
      <c r="AL79" s="17">
        <f t="shared" si="12"/>
        <v>-163</v>
      </c>
      <c r="AM79" s="38">
        <v>45974</v>
      </c>
      <c r="AN79" s="39">
        <v>0.54652777777777783</v>
      </c>
      <c r="AO79" s="17" t="s">
        <v>69</v>
      </c>
      <c r="AQ79" s="17">
        <f t="shared" si="15"/>
        <v>0</v>
      </c>
      <c r="AR79" s="38"/>
      <c r="AS79" s="39"/>
      <c r="AT79" s="17"/>
      <c r="AV79" s="17">
        <f t="shared" si="16"/>
        <v>0</v>
      </c>
      <c r="AZ79" s="26">
        <v>6915</v>
      </c>
    </row>
    <row r="80" spans="1:52" s="37" customFormat="1" ht="14" customHeight="1" x14ac:dyDescent="0.2">
      <c r="A80" s="17" t="s">
        <v>71</v>
      </c>
      <c r="B80" s="28">
        <v>47.622450000000001</v>
      </c>
      <c r="C80" s="83" t="s">
        <v>72</v>
      </c>
      <c r="D80" s="17" t="s">
        <v>37</v>
      </c>
      <c r="E80" s="26" t="s">
        <v>252</v>
      </c>
      <c r="F80" s="17" t="s">
        <v>77</v>
      </c>
      <c r="G80" s="13" t="s">
        <v>73</v>
      </c>
      <c r="H80" s="26" t="s">
        <v>74</v>
      </c>
      <c r="I80" s="26" t="s">
        <v>37</v>
      </c>
      <c r="J80" s="45">
        <v>22063156</v>
      </c>
      <c r="K80" s="26" t="s">
        <v>418</v>
      </c>
      <c r="L80" s="26" t="s">
        <v>37</v>
      </c>
      <c r="M80" s="26" t="s">
        <v>37</v>
      </c>
      <c r="N80" s="26" t="s">
        <v>37</v>
      </c>
      <c r="O80" s="26" t="s">
        <v>37</v>
      </c>
      <c r="P80" s="26" t="s">
        <v>37</v>
      </c>
      <c r="Q80" s="26" t="s">
        <v>75</v>
      </c>
      <c r="R80" s="48" t="s">
        <v>76</v>
      </c>
      <c r="S80" s="48">
        <v>45859.458344907405</v>
      </c>
      <c r="T80" s="27"/>
      <c r="U80" s="27"/>
      <c r="V80" s="27"/>
      <c r="W80" s="27"/>
      <c r="X80" s="27"/>
      <c r="Y80" s="27"/>
      <c r="Z80" s="27"/>
      <c r="AA80" s="30" t="s">
        <v>37</v>
      </c>
      <c r="AB80" s="30" t="s">
        <v>37</v>
      </c>
      <c r="AC80" s="43" t="s">
        <v>37</v>
      </c>
      <c r="AD80" s="43" t="s">
        <v>37</v>
      </c>
      <c r="AE80" s="43" t="s">
        <v>37</v>
      </c>
      <c r="AF80" s="26" t="s">
        <v>37</v>
      </c>
      <c r="AG80" s="26" t="s">
        <v>37</v>
      </c>
      <c r="AH80" s="26" t="s">
        <v>37</v>
      </c>
      <c r="AI80" s="26" t="s">
        <v>37</v>
      </c>
      <c r="AJ80" s="26" t="s">
        <v>37</v>
      </c>
      <c r="AK80" s="26" t="s">
        <v>37</v>
      </c>
      <c r="AL80" s="26" t="s">
        <v>37</v>
      </c>
      <c r="AM80" s="26" t="s">
        <v>37</v>
      </c>
      <c r="AN80" s="26" t="s">
        <v>37</v>
      </c>
      <c r="AO80" s="26" t="s">
        <v>37</v>
      </c>
      <c r="AP80" s="26" t="s">
        <v>37</v>
      </c>
      <c r="AQ80" s="26" t="s">
        <v>37</v>
      </c>
      <c r="AR80" s="26" t="s">
        <v>37</v>
      </c>
      <c r="AS80" s="26" t="s">
        <v>37</v>
      </c>
      <c r="AT80" s="26" t="s">
        <v>37</v>
      </c>
      <c r="AU80" s="26" t="s">
        <v>37</v>
      </c>
      <c r="AV80" s="26" t="s">
        <v>37</v>
      </c>
      <c r="AW80" s="26" t="s">
        <v>37</v>
      </c>
      <c r="AX80" s="26" t="s">
        <v>37</v>
      </c>
      <c r="AY80" s="26" t="s">
        <v>37</v>
      </c>
      <c r="AZ80" s="26">
        <v>6915</v>
      </c>
    </row>
    <row r="81" spans="1:52" s="17" customFormat="1" ht="14" customHeight="1" x14ac:dyDescent="0.2">
      <c r="A81" s="17" t="s">
        <v>506</v>
      </c>
      <c r="B81" s="28">
        <v>47.622450000000001</v>
      </c>
      <c r="C81" s="83" t="s">
        <v>72</v>
      </c>
      <c r="D81" s="17" t="s">
        <v>37</v>
      </c>
      <c r="E81" s="26" t="s">
        <v>252</v>
      </c>
      <c r="F81" s="17" t="s">
        <v>77</v>
      </c>
      <c r="G81" s="13" t="s">
        <v>73</v>
      </c>
      <c r="H81" s="26" t="s">
        <v>74</v>
      </c>
      <c r="I81" s="26" t="s">
        <v>37</v>
      </c>
      <c r="J81" s="45">
        <v>22063156</v>
      </c>
      <c r="K81" s="26" t="s">
        <v>418</v>
      </c>
      <c r="L81" s="26" t="s">
        <v>37</v>
      </c>
      <c r="M81" s="26" t="s">
        <v>37</v>
      </c>
      <c r="N81" s="26" t="s">
        <v>37</v>
      </c>
      <c r="O81" s="26" t="s">
        <v>37</v>
      </c>
      <c r="P81" s="26" t="s">
        <v>37</v>
      </c>
      <c r="Q81" s="26" t="s">
        <v>75</v>
      </c>
      <c r="R81" s="48" t="s">
        <v>76</v>
      </c>
      <c r="S81" s="64" t="s">
        <v>448</v>
      </c>
      <c r="T81" s="27"/>
      <c r="U81" s="27"/>
      <c r="V81" s="27"/>
      <c r="W81" s="27"/>
      <c r="X81" s="27"/>
      <c r="Y81" s="27"/>
      <c r="Z81" s="27"/>
      <c r="AA81" s="30" t="s">
        <v>37</v>
      </c>
      <c r="AB81" s="30" t="s">
        <v>37</v>
      </c>
      <c r="AC81" s="43">
        <v>0</v>
      </c>
      <c r="AD81" s="43">
        <v>0</v>
      </c>
      <c r="AE81" s="43">
        <v>0</v>
      </c>
      <c r="AF81" s="26" t="s">
        <v>37</v>
      </c>
      <c r="AG81" s="26" t="s">
        <v>37</v>
      </c>
      <c r="AH81" s="26" t="s">
        <v>37</v>
      </c>
      <c r="AI81" s="26" t="s">
        <v>37</v>
      </c>
      <c r="AJ81" s="26" t="s">
        <v>37</v>
      </c>
      <c r="AK81" s="26" t="s">
        <v>37</v>
      </c>
      <c r="AL81" s="26" t="s">
        <v>37</v>
      </c>
      <c r="AM81" s="26" t="s">
        <v>37</v>
      </c>
      <c r="AN81" s="26" t="s">
        <v>37</v>
      </c>
      <c r="AO81" s="26" t="s">
        <v>37</v>
      </c>
      <c r="AP81" s="26" t="s">
        <v>37</v>
      </c>
      <c r="AQ81" s="26" t="s">
        <v>37</v>
      </c>
      <c r="AR81" s="26" t="s">
        <v>37</v>
      </c>
      <c r="AS81" s="26" t="s">
        <v>37</v>
      </c>
      <c r="AT81" s="26" t="s">
        <v>37</v>
      </c>
      <c r="AU81" s="26" t="s">
        <v>37</v>
      </c>
      <c r="AV81" s="26" t="s">
        <v>37</v>
      </c>
      <c r="AW81" s="26" t="s">
        <v>37</v>
      </c>
      <c r="AX81" s="26" t="s">
        <v>37</v>
      </c>
      <c r="AY81" s="26" t="s">
        <v>37</v>
      </c>
      <c r="AZ81" s="26">
        <v>6915</v>
      </c>
    </row>
    <row r="82" spans="1:52" s="17" customFormat="1" ht="14" customHeight="1" x14ac:dyDescent="0.15">
      <c r="A82" s="17" t="s">
        <v>78</v>
      </c>
      <c r="B82" s="32">
        <v>47.622810000000001</v>
      </c>
      <c r="C82" s="33" t="s">
        <v>79</v>
      </c>
      <c r="D82" s="17" t="s">
        <v>37</v>
      </c>
      <c r="E82" s="26" t="s">
        <v>252</v>
      </c>
      <c r="F82" s="17" t="s">
        <v>77</v>
      </c>
      <c r="G82" s="17" t="s">
        <v>80</v>
      </c>
      <c r="H82" s="17" t="s">
        <v>81</v>
      </c>
      <c r="I82" s="26" t="s">
        <v>37</v>
      </c>
      <c r="J82" s="46">
        <v>22195241</v>
      </c>
      <c r="K82" s="26" t="s">
        <v>418</v>
      </c>
      <c r="M82" s="17">
        <v>143.9</v>
      </c>
      <c r="N82" s="26" t="s">
        <v>37</v>
      </c>
      <c r="O82" s="26" t="s">
        <v>37</v>
      </c>
      <c r="P82" s="26" t="s">
        <v>37</v>
      </c>
      <c r="Q82" s="17" t="s">
        <v>82</v>
      </c>
      <c r="R82" s="48" t="s">
        <v>83</v>
      </c>
      <c r="S82" s="48">
        <v>45859.458344907405</v>
      </c>
      <c r="T82" s="35"/>
      <c r="U82" s="35"/>
      <c r="V82" s="35"/>
      <c r="W82" s="35"/>
      <c r="X82" s="35"/>
      <c r="Y82" s="35"/>
      <c r="Z82" s="35"/>
      <c r="AA82" s="36">
        <v>44</v>
      </c>
      <c r="AB82" s="36">
        <v>44</v>
      </c>
      <c r="AC82" s="44">
        <v>0</v>
      </c>
      <c r="AD82" s="44">
        <v>0</v>
      </c>
      <c r="AE82" s="44">
        <v>0</v>
      </c>
      <c r="AF82" s="17">
        <v>54.5</v>
      </c>
      <c r="AG82" s="17">
        <f t="shared" ref="AG82:AG87" si="18">AF82*-1</f>
        <v>-54.5</v>
      </c>
      <c r="AH82" s="38">
        <v>45803</v>
      </c>
      <c r="AI82" s="39">
        <v>0.33334490740740735</v>
      </c>
      <c r="AJ82" s="17" t="s">
        <v>45</v>
      </c>
      <c r="AK82" s="17">
        <v>103.3</v>
      </c>
      <c r="AL82" s="17">
        <f t="shared" ref="AL82:AL108" si="19">AK82*-1</f>
        <v>-103.3</v>
      </c>
      <c r="AM82" s="38">
        <v>45859</v>
      </c>
      <c r="AN82" s="39">
        <v>0.4770949074074074</v>
      </c>
      <c r="AQ82" s="17">
        <f t="shared" ref="AQ82:AQ95" si="20">AP82*-1</f>
        <v>0</v>
      </c>
      <c r="AV82" s="17">
        <f t="shared" ref="AV82:AV108" si="21">AU82*-1</f>
        <v>0</v>
      </c>
      <c r="AZ82" s="26">
        <v>6915</v>
      </c>
    </row>
    <row r="83" spans="1:52" s="17" customFormat="1" ht="14" customHeight="1" x14ac:dyDescent="0.2">
      <c r="A83" s="26" t="s">
        <v>504</v>
      </c>
      <c r="B83" s="28">
        <v>47.796959999999999</v>
      </c>
      <c r="C83" s="28">
        <v>-69.50703</v>
      </c>
      <c r="D83" s="17" t="s">
        <v>37</v>
      </c>
      <c r="E83" s="26" t="s">
        <v>252</v>
      </c>
      <c r="F83" s="17" t="s">
        <v>131</v>
      </c>
      <c r="G83" t="s">
        <v>421</v>
      </c>
      <c r="H83" s="17" t="s">
        <v>435</v>
      </c>
      <c r="I83" s="26" t="s">
        <v>37</v>
      </c>
      <c r="J83" s="45">
        <v>22195241</v>
      </c>
      <c r="K83" s="26" t="s">
        <v>418</v>
      </c>
      <c r="L83" s="26"/>
      <c r="M83" s="26">
        <v>143.69999999999999</v>
      </c>
      <c r="N83" s="26" t="s">
        <v>37</v>
      </c>
      <c r="O83" s="26" t="s">
        <v>37</v>
      </c>
      <c r="P83" s="26" t="s">
        <v>37</v>
      </c>
      <c r="Q83" s="26" t="s">
        <v>423</v>
      </c>
      <c r="R83" s="47">
        <v>45868.416678240741</v>
      </c>
      <c r="S83" s="47">
        <v>45973.416678240741</v>
      </c>
      <c r="T83" s="35"/>
      <c r="U83" s="35"/>
      <c r="V83" s="35"/>
      <c r="W83" s="35"/>
      <c r="X83" s="35"/>
      <c r="Y83" s="35"/>
      <c r="Z83" s="35"/>
      <c r="AA83" s="30">
        <v>60.9</v>
      </c>
      <c r="AB83" s="30">
        <v>60.9</v>
      </c>
      <c r="AC83" s="43">
        <v>0</v>
      </c>
      <c r="AD83" s="43">
        <v>0</v>
      </c>
      <c r="AE83" s="43">
        <v>0</v>
      </c>
      <c r="AF83" s="26">
        <v>138.5</v>
      </c>
      <c r="AG83" s="8">
        <f t="shared" si="18"/>
        <v>-138.5</v>
      </c>
      <c r="AH83" s="29">
        <v>45937</v>
      </c>
      <c r="AI83" s="31">
        <v>0.52152777777777781</v>
      </c>
      <c r="AJ83" s="26" t="s">
        <v>69</v>
      </c>
      <c r="AK83" s="26">
        <v>92.5</v>
      </c>
      <c r="AL83" s="17">
        <f t="shared" si="19"/>
        <v>-92.5</v>
      </c>
      <c r="AM83" s="29">
        <v>45973</v>
      </c>
      <c r="AN83" s="31">
        <v>0.44027777777777777</v>
      </c>
      <c r="AO83" s="26" t="s">
        <v>69</v>
      </c>
      <c r="AP83" s="26"/>
      <c r="AQ83" s="17">
        <f t="shared" si="20"/>
        <v>0</v>
      </c>
      <c r="AR83" s="26"/>
      <c r="AS83" s="26"/>
      <c r="AT83" s="26"/>
      <c r="AU83" s="26"/>
      <c r="AV83" s="17">
        <f t="shared" si="21"/>
        <v>0</v>
      </c>
      <c r="AW83" s="26"/>
      <c r="AX83" s="26"/>
      <c r="AY83" s="26"/>
      <c r="AZ83" s="26">
        <v>10808</v>
      </c>
    </row>
    <row r="84" spans="1:52" ht="16" customHeight="1" x14ac:dyDescent="0.15">
      <c r="A84" s="17" t="s">
        <v>96</v>
      </c>
      <c r="B84" s="32">
        <v>47.627490000000002</v>
      </c>
      <c r="C84" s="33" t="s">
        <v>97</v>
      </c>
      <c r="D84" s="17" t="s">
        <v>37</v>
      </c>
      <c r="E84" s="26" t="s">
        <v>252</v>
      </c>
      <c r="F84" s="17" t="s">
        <v>77</v>
      </c>
      <c r="G84" s="17" t="s">
        <v>98</v>
      </c>
      <c r="H84" s="26" t="s">
        <v>99</v>
      </c>
      <c r="I84" s="26" t="s">
        <v>37</v>
      </c>
      <c r="J84" s="45">
        <v>22195244</v>
      </c>
      <c r="K84" s="26" t="s">
        <v>418</v>
      </c>
      <c r="M84" s="26">
        <v>171.1</v>
      </c>
      <c r="N84" s="26" t="s">
        <v>37</v>
      </c>
      <c r="R84" s="48" t="s">
        <v>100</v>
      </c>
      <c r="S84" s="47">
        <v>45859.375011574077</v>
      </c>
      <c r="AA84" s="36">
        <v>51.850000000000009</v>
      </c>
      <c r="AB84" s="36">
        <v>51.850000000000009</v>
      </c>
      <c r="AC84" s="43">
        <v>0</v>
      </c>
      <c r="AD84" s="43">
        <v>0</v>
      </c>
      <c r="AE84" s="44">
        <v>0</v>
      </c>
      <c r="AF84" s="17">
        <v>187.8</v>
      </c>
      <c r="AG84" s="17">
        <f t="shared" si="18"/>
        <v>-187.8</v>
      </c>
      <c r="AH84" s="29">
        <v>45859</v>
      </c>
      <c r="AI84" s="31">
        <v>0.40278935185185188</v>
      </c>
      <c r="AJ84" s="26" t="s">
        <v>63</v>
      </c>
      <c r="AL84" s="17">
        <f t="shared" si="19"/>
        <v>0</v>
      </c>
      <c r="AQ84" s="17">
        <f t="shared" si="20"/>
        <v>0</v>
      </c>
      <c r="AV84" s="17">
        <f t="shared" si="21"/>
        <v>0</v>
      </c>
      <c r="AZ84" s="26">
        <v>6915</v>
      </c>
    </row>
    <row r="85" spans="1:52" ht="16" customHeight="1" x14ac:dyDescent="0.15">
      <c r="A85" s="17" t="s">
        <v>453</v>
      </c>
      <c r="B85" s="32">
        <v>47.628790000000002</v>
      </c>
      <c r="C85" s="33" t="s">
        <v>123</v>
      </c>
      <c r="D85" s="17" t="s">
        <v>37</v>
      </c>
      <c r="E85" s="26" t="s">
        <v>252</v>
      </c>
      <c r="F85" s="17" t="s">
        <v>77</v>
      </c>
      <c r="G85" s="17" t="s">
        <v>103</v>
      </c>
      <c r="H85" s="26" t="s">
        <v>99</v>
      </c>
      <c r="I85" s="26" t="s">
        <v>37</v>
      </c>
      <c r="J85" s="45">
        <v>22195244</v>
      </c>
      <c r="K85" s="26" t="s">
        <v>418</v>
      </c>
      <c r="M85" s="96" t="s">
        <v>124</v>
      </c>
      <c r="N85" s="26" t="s">
        <v>37</v>
      </c>
      <c r="O85" s="26" t="s">
        <v>37</v>
      </c>
      <c r="P85" s="26" t="s">
        <v>37</v>
      </c>
      <c r="Q85" s="26" t="s">
        <v>125</v>
      </c>
      <c r="R85" s="47">
        <v>45864.666678240741</v>
      </c>
      <c r="S85" s="64" t="s">
        <v>449</v>
      </c>
      <c r="AA85" s="30">
        <v>50.366666666666667</v>
      </c>
      <c r="AB85" s="30">
        <v>50.366666666666667</v>
      </c>
      <c r="AC85" s="43">
        <v>0</v>
      </c>
      <c r="AD85" s="43">
        <v>0</v>
      </c>
      <c r="AE85" s="43">
        <v>0</v>
      </c>
      <c r="AF85" s="26">
        <v>171.5</v>
      </c>
      <c r="AG85" s="17">
        <f t="shared" si="18"/>
        <v>-171.5</v>
      </c>
      <c r="AH85" s="38">
        <v>45974</v>
      </c>
      <c r="AI85" s="39">
        <v>0.57430555555555551</v>
      </c>
      <c r="AJ85" s="17" t="s">
        <v>69</v>
      </c>
      <c r="AL85" s="17">
        <f t="shared" si="19"/>
        <v>0</v>
      </c>
      <c r="AQ85" s="17">
        <f t="shared" si="20"/>
        <v>0</v>
      </c>
      <c r="AR85" s="38"/>
      <c r="AS85" s="39"/>
      <c r="AT85" s="17"/>
      <c r="AV85" s="17">
        <f t="shared" si="21"/>
        <v>0</v>
      </c>
      <c r="AZ85" s="26">
        <v>6915</v>
      </c>
    </row>
    <row r="86" spans="1:52" ht="16" customHeight="1" x14ac:dyDescent="0.15">
      <c r="A86" s="17" t="s">
        <v>101</v>
      </c>
      <c r="B86" s="32">
        <v>47.627409999999998</v>
      </c>
      <c r="C86" s="33" t="s">
        <v>102</v>
      </c>
      <c r="D86" s="17" t="s">
        <v>37</v>
      </c>
      <c r="E86" s="26" t="s">
        <v>252</v>
      </c>
      <c r="F86" s="17" t="s">
        <v>77</v>
      </c>
      <c r="G86" s="17" t="s">
        <v>103</v>
      </c>
      <c r="H86" s="26" t="s">
        <v>99</v>
      </c>
      <c r="I86" s="26" t="s">
        <v>37</v>
      </c>
      <c r="J86" s="45">
        <v>22195246</v>
      </c>
      <c r="K86" s="26" t="s">
        <v>418</v>
      </c>
      <c r="M86" s="17">
        <v>236.3</v>
      </c>
      <c r="N86" s="26" t="s">
        <v>37</v>
      </c>
      <c r="R86" s="48" t="s">
        <v>100</v>
      </c>
      <c r="S86" s="47">
        <v>45859.375011574077</v>
      </c>
      <c r="AA86" s="36">
        <v>41.983333333333327</v>
      </c>
      <c r="AB86" s="36">
        <v>41.983333333333327</v>
      </c>
      <c r="AC86" s="43">
        <v>0</v>
      </c>
      <c r="AD86" s="43">
        <v>0</v>
      </c>
      <c r="AE86" s="44">
        <v>0</v>
      </c>
      <c r="AF86" s="26">
        <v>183.6</v>
      </c>
      <c r="AG86" s="17">
        <f t="shared" si="18"/>
        <v>-183.6</v>
      </c>
      <c r="AH86" s="29">
        <v>45859</v>
      </c>
      <c r="AI86" s="31">
        <v>0.40834490740740742</v>
      </c>
      <c r="AJ86" s="26" t="s">
        <v>63</v>
      </c>
      <c r="AL86" s="17">
        <f t="shared" si="19"/>
        <v>0</v>
      </c>
      <c r="AQ86" s="17">
        <f t="shared" si="20"/>
        <v>0</v>
      </c>
      <c r="AV86" s="17">
        <f t="shared" si="21"/>
        <v>0</v>
      </c>
      <c r="AZ86" s="26">
        <v>6915</v>
      </c>
    </row>
    <row r="87" spans="1:52" ht="15" customHeight="1" x14ac:dyDescent="0.2">
      <c r="A87" s="17" t="s">
        <v>58</v>
      </c>
      <c r="B87" s="32">
        <v>47.173189999999998</v>
      </c>
      <c r="C87" s="33" t="s">
        <v>59</v>
      </c>
      <c r="D87" s="17" t="s">
        <v>37</v>
      </c>
      <c r="E87" s="26" t="s">
        <v>252</v>
      </c>
      <c r="F87" s="17" t="s">
        <v>54</v>
      </c>
      <c r="G87" s="17" t="s">
        <v>60</v>
      </c>
      <c r="H87" s="17" t="s">
        <v>52</v>
      </c>
      <c r="I87" s="26" t="s">
        <v>37</v>
      </c>
      <c r="J87" s="46">
        <v>22195247</v>
      </c>
      <c r="K87" s="26" t="s">
        <v>418</v>
      </c>
      <c r="L87" s="17"/>
      <c r="M87" s="17">
        <v>104.1</v>
      </c>
      <c r="N87" s="26" t="s">
        <v>37</v>
      </c>
      <c r="O87" s="26" t="s">
        <v>37</v>
      </c>
      <c r="P87" s="26" t="s">
        <v>37</v>
      </c>
      <c r="Q87" s="17" t="s">
        <v>61</v>
      </c>
      <c r="R87" s="48" t="s">
        <v>62</v>
      </c>
      <c r="S87" s="48">
        <v>45854.583344907405</v>
      </c>
      <c r="T87" s="35"/>
      <c r="U87" s="35"/>
      <c r="V87" s="35"/>
      <c r="W87" s="35"/>
      <c r="X87" s="35"/>
      <c r="Y87" s="35"/>
      <c r="Z87" s="35"/>
      <c r="AA87" s="36">
        <v>45.5</v>
      </c>
      <c r="AB87" s="36">
        <v>45.5</v>
      </c>
      <c r="AC87" s="44">
        <v>0</v>
      </c>
      <c r="AD87" s="44">
        <v>0</v>
      </c>
      <c r="AE87" s="44">
        <v>0</v>
      </c>
      <c r="AF87" s="17">
        <v>94.5</v>
      </c>
      <c r="AG87" s="17">
        <f t="shared" si="18"/>
        <v>-94.5</v>
      </c>
      <c r="AH87" s="38">
        <v>45854</v>
      </c>
      <c r="AI87" s="39">
        <v>0.58334490740740741</v>
      </c>
      <c r="AJ87" s="17" t="s">
        <v>63</v>
      </c>
      <c r="AK87" s="17"/>
      <c r="AL87" s="17">
        <f t="shared" si="19"/>
        <v>0</v>
      </c>
      <c r="AM87" s="17"/>
      <c r="AN87" s="17"/>
      <c r="AO87" s="17"/>
      <c r="AP87" s="17"/>
      <c r="AQ87" s="17">
        <f t="shared" si="20"/>
        <v>0</v>
      </c>
      <c r="AR87" s="17"/>
      <c r="AS87" s="17"/>
      <c r="AT87" s="17"/>
      <c r="AU87" s="17"/>
      <c r="AV87" s="17">
        <f t="shared" si="21"/>
        <v>0</v>
      </c>
      <c r="AW87" s="17"/>
      <c r="AX87" s="17"/>
      <c r="AY87" s="17"/>
      <c r="AZ87">
        <v>6128</v>
      </c>
    </row>
    <row r="88" spans="1:52" s="17" customFormat="1" ht="14" customHeight="1" x14ac:dyDescent="0.15">
      <c r="A88" s="17" t="s">
        <v>104</v>
      </c>
      <c r="B88" s="32">
        <v>47.627099999999999</v>
      </c>
      <c r="C88" s="33" t="s">
        <v>105</v>
      </c>
      <c r="D88" s="17" t="s">
        <v>37</v>
      </c>
      <c r="E88" s="26" t="s">
        <v>252</v>
      </c>
      <c r="F88" s="17" t="s">
        <v>77</v>
      </c>
      <c r="G88" s="17" t="s">
        <v>106</v>
      </c>
      <c r="H88" s="26" t="s">
        <v>99</v>
      </c>
      <c r="I88" s="26" t="s">
        <v>37</v>
      </c>
      <c r="J88" s="45">
        <v>22195248</v>
      </c>
      <c r="K88" s="26" t="s">
        <v>418</v>
      </c>
      <c r="L88" s="26"/>
      <c r="M88" s="17">
        <v>135.30000000000001</v>
      </c>
      <c r="N88" s="26" t="s">
        <v>37</v>
      </c>
      <c r="O88" s="26"/>
      <c r="P88" s="26"/>
      <c r="Q88" s="26" t="s">
        <v>404</v>
      </c>
      <c r="R88" s="48" t="s">
        <v>100</v>
      </c>
      <c r="S88" s="47">
        <v>45823.416678240741</v>
      </c>
      <c r="T88" s="27"/>
      <c r="U88" s="27"/>
      <c r="V88" s="27"/>
      <c r="W88" s="27"/>
      <c r="X88" s="27"/>
      <c r="Y88" s="27"/>
      <c r="Z88" s="27"/>
      <c r="AA88" s="30">
        <v>49</v>
      </c>
      <c r="AB88" s="30">
        <v>49</v>
      </c>
      <c r="AC88" s="43">
        <v>0</v>
      </c>
      <c r="AD88" s="43">
        <v>0</v>
      </c>
      <c r="AE88" s="43">
        <v>0</v>
      </c>
      <c r="AF88" s="37"/>
      <c r="AG88" s="37"/>
      <c r="AH88" s="104"/>
      <c r="AI88" s="105"/>
      <c r="AJ88" s="26"/>
      <c r="AK88" s="26"/>
      <c r="AL88" s="17">
        <f t="shared" si="19"/>
        <v>0</v>
      </c>
      <c r="AM88" s="26"/>
      <c r="AN88" s="26"/>
      <c r="AO88" s="26"/>
      <c r="AP88" s="26"/>
      <c r="AQ88" s="17">
        <f t="shared" si="20"/>
        <v>0</v>
      </c>
      <c r="AR88" s="26"/>
      <c r="AS88" s="26"/>
      <c r="AT88" s="26"/>
      <c r="AU88" s="26"/>
      <c r="AV88" s="17">
        <f t="shared" si="21"/>
        <v>0</v>
      </c>
      <c r="AW88" s="26"/>
      <c r="AX88" s="26"/>
      <c r="AY88" s="26"/>
      <c r="AZ88" s="26">
        <v>6915</v>
      </c>
    </row>
    <row r="89" spans="1:52" ht="16" customHeight="1" x14ac:dyDescent="0.15">
      <c r="A89" s="17" t="s">
        <v>104</v>
      </c>
      <c r="B89" s="32">
        <v>47.627099999999999</v>
      </c>
      <c r="C89" s="33" t="s">
        <v>105</v>
      </c>
      <c r="D89" s="17" t="s">
        <v>37</v>
      </c>
      <c r="E89" s="26" t="s">
        <v>252</v>
      </c>
      <c r="F89" s="17" t="s">
        <v>77</v>
      </c>
      <c r="G89" s="17" t="s">
        <v>106</v>
      </c>
      <c r="H89" s="26" t="s">
        <v>99</v>
      </c>
      <c r="I89" s="26" t="s">
        <v>37</v>
      </c>
      <c r="J89" s="45">
        <v>22195248</v>
      </c>
      <c r="K89" s="26" t="s">
        <v>418</v>
      </c>
      <c r="M89" s="17">
        <v>135.30000000000001</v>
      </c>
      <c r="N89" s="26" t="s">
        <v>37</v>
      </c>
      <c r="Q89" s="26" t="s">
        <v>403</v>
      </c>
      <c r="R89" s="48" t="s">
        <v>402</v>
      </c>
      <c r="S89" s="47">
        <v>45859.416678240741</v>
      </c>
      <c r="AA89" s="30">
        <v>25.233333333333331</v>
      </c>
      <c r="AB89" s="30">
        <v>25.233333333333331</v>
      </c>
      <c r="AC89" s="43">
        <v>0</v>
      </c>
      <c r="AD89" s="43">
        <v>0</v>
      </c>
      <c r="AE89" s="43">
        <v>0</v>
      </c>
      <c r="AF89" s="17">
        <v>149.30000000000001</v>
      </c>
      <c r="AG89" s="17">
        <f t="shared" ref="AG89:AG94" si="22">AF89*-1</f>
        <v>-149.30000000000001</v>
      </c>
      <c r="AH89" s="29">
        <v>45859</v>
      </c>
      <c r="AI89" s="31">
        <v>0.42015046296296293</v>
      </c>
      <c r="AJ89" s="26" t="s">
        <v>63</v>
      </c>
      <c r="AL89" s="17">
        <f t="shared" si="19"/>
        <v>0</v>
      </c>
      <c r="AQ89" s="17">
        <f t="shared" si="20"/>
        <v>0</v>
      </c>
      <c r="AV89" s="17">
        <f t="shared" si="21"/>
        <v>0</v>
      </c>
      <c r="AZ89" s="26">
        <v>6915</v>
      </c>
    </row>
    <row r="90" spans="1:52" ht="14" customHeight="1" x14ac:dyDescent="0.15">
      <c r="A90" s="17" t="s">
        <v>451</v>
      </c>
      <c r="B90" s="32">
        <v>47.628680000000003</v>
      </c>
      <c r="C90" s="33" t="s">
        <v>126</v>
      </c>
      <c r="D90" s="17" t="s">
        <v>37</v>
      </c>
      <c r="E90" s="26" t="s">
        <v>252</v>
      </c>
      <c r="F90" s="17" t="s">
        <v>77</v>
      </c>
      <c r="G90" s="17" t="s">
        <v>106</v>
      </c>
      <c r="H90" s="26" t="s">
        <v>99</v>
      </c>
      <c r="I90" s="26" t="s">
        <v>37</v>
      </c>
      <c r="J90" s="45">
        <v>22195248</v>
      </c>
      <c r="K90" s="26" t="s">
        <v>418</v>
      </c>
      <c r="M90" s="84" t="s">
        <v>127</v>
      </c>
      <c r="N90" s="26" t="s">
        <v>37</v>
      </c>
      <c r="O90" s="26" t="s">
        <v>37</v>
      </c>
      <c r="P90" s="26" t="s">
        <v>37</v>
      </c>
      <c r="R90" s="47">
        <v>45864.666678240741</v>
      </c>
      <c r="S90" s="64" t="s">
        <v>449</v>
      </c>
      <c r="AA90" s="30">
        <v>32.966666666666669</v>
      </c>
      <c r="AB90" s="30">
        <v>32.966666666666669</v>
      </c>
      <c r="AC90" s="43">
        <v>0</v>
      </c>
      <c r="AD90" s="43">
        <v>0</v>
      </c>
      <c r="AE90" s="43">
        <v>0</v>
      </c>
      <c r="AF90" s="17">
        <v>73</v>
      </c>
      <c r="AG90" s="17">
        <f t="shared" si="22"/>
        <v>-73</v>
      </c>
      <c r="AH90" s="38">
        <v>45974</v>
      </c>
      <c r="AI90" s="39">
        <v>0.57430555555555551</v>
      </c>
      <c r="AJ90" s="17" t="s">
        <v>69</v>
      </c>
      <c r="AL90" s="17">
        <f t="shared" si="19"/>
        <v>0</v>
      </c>
      <c r="AQ90" s="17">
        <f t="shared" si="20"/>
        <v>0</v>
      </c>
      <c r="AR90" s="38"/>
      <c r="AS90" s="39"/>
      <c r="AT90" s="17"/>
      <c r="AV90" s="17">
        <f t="shared" si="21"/>
        <v>0</v>
      </c>
      <c r="AZ90" s="26">
        <v>6915</v>
      </c>
    </row>
    <row r="91" spans="1:52" s="17" customFormat="1" ht="14" customHeight="1" x14ac:dyDescent="0.15">
      <c r="A91" s="17" t="s">
        <v>509</v>
      </c>
      <c r="B91" s="32">
        <v>47.622810000000001</v>
      </c>
      <c r="C91" s="33" t="s">
        <v>166</v>
      </c>
      <c r="D91" s="17" t="s">
        <v>37</v>
      </c>
      <c r="E91" s="26" t="s">
        <v>252</v>
      </c>
      <c r="F91" s="17" t="s">
        <v>77</v>
      </c>
      <c r="G91" s="17" t="s">
        <v>167</v>
      </c>
      <c r="H91" s="17" t="s">
        <v>87</v>
      </c>
      <c r="I91" s="26" t="s">
        <v>37</v>
      </c>
      <c r="J91" s="46">
        <v>22220782</v>
      </c>
      <c r="K91" s="26" t="s">
        <v>418</v>
      </c>
      <c r="M91" s="17">
        <v>137.19999999999999</v>
      </c>
      <c r="N91" s="26" t="s">
        <v>37</v>
      </c>
      <c r="O91" s="26" t="s">
        <v>37</v>
      </c>
      <c r="P91" s="26" t="s">
        <v>37</v>
      </c>
      <c r="R91" s="48" t="s">
        <v>165</v>
      </c>
      <c r="S91" s="34">
        <v>45974.5</v>
      </c>
      <c r="T91" s="40"/>
      <c r="U91" s="40"/>
      <c r="V91" s="40"/>
      <c r="W91" s="40"/>
      <c r="X91" s="40"/>
      <c r="Y91" s="40"/>
      <c r="Z91" s="40"/>
      <c r="AA91" s="36">
        <v>34.766666666666666</v>
      </c>
      <c r="AB91" s="30">
        <v>34.766666666666666</v>
      </c>
      <c r="AC91" s="43">
        <v>0</v>
      </c>
      <c r="AD91" s="43">
        <v>0</v>
      </c>
      <c r="AE91" s="43">
        <v>0</v>
      </c>
      <c r="AF91" s="17">
        <v>70.900000000000006</v>
      </c>
      <c r="AG91" s="17">
        <f t="shared" si="22"/>
        <v>-70.900000000000006</v>
      </c>
      <c r="AH91" s="29">
        <v>45806</v>
      </c>
      <c r="AI91" s="31">
        <v>0.37501157407407404</v>
      </c>
      <c r="AJ91" s="26" t="s">
        <v>45</v>
      </c>
      <c r="AK91" s="17">
        <v>109.5</v>
      </c>
      <c r="AL91" s="17">
        <f t="shared" si="19"/>
        <v>-109.5</v>
      </c>
      <c r="AM91" s="38">
        <v>45859</v>
      </c>
      <c r="AN91" s="39">
        <v>0.55556712962962962</v>
      </c>
      <c r="AO91" s="17" t="s">
        <v>45</v>
      </c>
      <c r="AP91" s="17">
        <v>109</v>
      </c>
      <c r="AQ91" s="17">
        <f t="shared" si="20"/>
        <v>-109</v>
      </c>
      <c r="AR91" s="38">
        <v>45974</v>
      </c>
      <c r="AS91" s="39">
        <v>0.51666666666666672</v>
      </c>
      <c r="AT91" s="17" t="s">
        <v>69</v>
      </c>
      <c r="AV91" s="17">
        <f t="shared" si="21"/>
        <v>0</v>
      </c>
      <c r="AZ91" s="26">
        <v>6915</v>
      </c>
    </row>
    <row r="92" spans="1:52" ht="16" customHeight="1" x14ac:dyDescent="0.15">
      <c r="A92" s="17" t="s">
        <v>420</v>
      </c>
      <c r="B92" s="32">
        <v>47.622680000000003</v>
      </c>
      <c r="C92" s="33" t="s">
        <v>234</v>
      </c>
      <c r="D92" s="17" t="s">
        <v>37</v>
      </c>
      <c r="E92" s="26" t="s">
        <v>252</v>
      </c>
      <c r="F92" s="17" t="s">
        <v>77</v>
      </c>
      <c r="G92" s="17" t="s">
        <v>235</v>
      </c>
      <c r="H92" s="17" t="s">
        <v>236</v>
      </c>
      <c r="I92" s="26" t="s">
        <v>37</v>
      </c>
      <c r="J92" s="46">
        <v>22220785</v>
      </c>
      <c r="K92" s="26" t="s">
        <v>418</v>
      </c>
      <c r="L92" s="17"/>
      <c r="M92" s="17">
        <v>137.6</v>
      </c>
      <c r="N92" s="26" t="s">
        <v>37</v>
      </c>
      <c r="O92" s="26" t="s">
        <v>37</v>
      </c>
      <c r="P92" s="26" t="s">
        <v>37</v>
      </c>
      <c r="Q92" s="17"/>
      <c r="R92" s="48" t="s">
        <v>237</v>
      </c>
      <c r="S92" s="48">
        <v>45804.468761574077</v>
      </c>
      <c r="T92" s="40"/>
      <c r="U92" s="40"/>
      <c r="V92" s="40"/>
      <c r="W92" s="40"/>
      <c r="X92" s="40"/>
      <c r="Y92" s="40"/>
      <c r="Z92" s="40"/>
      <c r="AA92" s="36">
        <v>21.5</v>
      </c>
      <c r="AB92" s="36">
        <v>21.5</v>
      </c>
      <c r="AC92" s="44">
        <v>0</v>
      </c>
      <c r="AD92" s="44">
        <v>0</v>
      </c>
      <c r="AE92" s="44">
        <v>0</v>
      </c>
      <c r="AF92" s="17">
        <v>54</v>
      </c>
      <c r="AG92" s="17">
        <f t="shared" si="22"/>
        <v>-54</v>
      </c>
      <c r="AH92" s="38">
        <v>45798</v>
      </c>
      <c r="AI92" s="39">
        <v>0.54167824074074067</v>
      </c>
      <c r="AJ92" s="17" t="s">
        <v>69</v>
      </c>
      <c r="AK92" s="17"/>
      <c r="AL92" s="17">
        <f t="shared" si="19"/>
        <v>0</v>
      </c>
      <c r="AM92" s="17"/>
      <c r="AN92" s="17"/>
      <c r="AO92" s="17"/>
      <c r="AP92" s="17"/>
      <c r="AQ92" s="17">
        <f t="shared" si="20"/>
        <v>0</v>
      </c>
      <c r="AR92" s="17"/>
      <c r="AS92" s="17"/>
      <c r="AT92" s="17"/>
      <c r="AU92" s="17"/>
      <c r="AV92" s="17">
        <f t="shared" si="21"/>
        <v>0</v>
      </c>
      <c r="AW92" s="17"/>
      <c r="AX92" s="17"/>
      <c r="AY92" s="17"/>
      <c r="AZ92" s="26">
        <v>6915</v>
      </c>
    </row>
    <row r="93" spans="1:52" ht="14" customHeight="1" x14ac:dyDescent="0.15">
      <c r="A93" s="17" t="s">
        <v>514</v>
      </c>
      <c r="B93" s="32">
        <v>47.622689999999999</v>
      </c>
      <c r="C93" s="33" t="s">
        <v>208</v>
      </c>
      <c r="D93" s="17" t="s">
        <v>37</v>
      </c>
      <c r="E93" s="26" t="s">
        <v>252</v>
      </c>
      <c r="F93" s="17" t="s">
        <v>77</v>
      </c>
      <c r="G93" s="17" t="s">
        <v>209</v>
      </c>
      <c r="H93" s="17" t="s">
        <v>139</v>
      </c>
      <c r="I93" s="26" t="s">
        <v>37</v>
      </c>
      <c r="J93" s="46">
        <v>22220786</v>
      </c>
      <c r="K93" s="26" t="s">
        <v>418</v>
      </c>
      <c r="L93" s="17"/>
      <c r="M93" s="17">
        <v>137.5</v>
      </c>
      <c r="N93" s="26" t="s">
        <v>37</v>
      </c>
      <c r="O93" s="26" t="s">
        <v>37</v>
      </c>
      <c r="P93" s="26" t="s">
        <v>37</v>
      </c>
      <c r="Q93" s="17"/>
      <c r="R93" s="48" t="s">
        <v>140</v>
      </c>
      <c r="S93" s="34">
        <v>45974.458333333336</v>
      </c>
      <c r="T93" s="35"/>
      <c r="U93" s="35"/>
      <c r="V93" s="35"/>
      <c r="W93" s="35"/>
      <c r="X93" s="35"/>
      <c r="Y93" s="35"/>
      <c r="Z93" s="35"/>
      <c r="AA93" s="36">
        <v>18.133333333333333</v>
      </c>
      <c r="AB93" s="30">
        <v>18.133333333333333</v>
      </c>
      <c r="AC93" s="43">
        <v>0</v>
      </c>
      <c r="AD93" s="43">
        <v>0</v>
      </c>
      <c r="AE93" s="43">
        <v>0</v>
      </c>
      <c r="AF93" s="17">
        <v>16</v>
      </c>
      <c r="AG93" s="17">
        <f t="shared" si="22"/>
        <v>-16</v>
      </c>
      <c r="AH93" s="38">
        <v>45803</v>
      </c>
      <c r="AI93" s="39">
        <v>0.37501157407407404</v>
      </c>
      <c r="AJ93" s="17" t="s">
        <v>45</v>
      </c>
      <c r="AK93" s="17">
        <v>57.4</v>
      </c>
      <c r="AL93" s="17">
        <f t="shared" si="19"/>
        <v>-57.4</v>
      </c>
      <c r="AM93" s="38">
        <v>45859</v>
      </c>
      <c r="AN93" s="39">
        <v>0.49098379629629635</v>
      </c>
      <c r="AO93" s="17" t="s">
        <v>45</v>
      </c>
      <c r="AP93" s="17">
        <v>29.5</v>
      </c>
      <c r="AQ93" s="17">
        <f t="shared" si="20"/>
        <v>-29.5</v>
      </c>
      <c r="AR93" s="38">
        <v>45974</v>
      </c>
      <c r="AS93" s="39">
        <v>0.47152777777777777</v>
      </c>
      <c r="AT93" s="17" t="s">
        <v>69</v>
      </c>
      <c r="AU93" s="17"/>
      <c r="AV93" s="17">
        <f t="shared" si="21"/>
        <v>0</v>
      </c>
      <c r="AW93" s="17"/>
      <c r="AX93" s="17"/>
      <c r="AY93" s="17"/>
      <c r="AZ93" s="26">
        <v>6915</v>
      </c>
    </row>
    <row r="94" spans="1:52" ht="14" customHeight="1" x14ac:dyDescent="0.2">
      <c r="A94" t="s">
        <v>463</v>
      </c>
      <c r="B94">
        <v>46.70617</v>
      </c>
      <c r="C94">
        <v>-71.064160000000001</v>
      </c>
      <c r="D94" t="s">
        <v>37</v>
      </c>
      <c r="E94" s="26" t="s">
        <v>252</v>
      </c>
      <c r="F94" t="s">
        <v>253</v>
      </c>
      <c r="G94" t="s">
        <v>250</v>
      </c>
      <c r="H94" t="s">
        <v>251</v>
      </c>
      <c r="I94"/>
      <c r="J94" s="106">
        <v>22220787</v>
      </c>
      <c r="K94" t="s">
        <v>418</v>
      </c>
      <c r="L94"/>
      <c r="M94">
        <v>188</v>
      </c>
      <c r="N94" t="s">
        <v>37</v>
      </c>
      <c r="O94" t="s">
        <v>37</v>
      </c>
      <c r="P94" t="s">
        <v>37</v>
      </c>
      <c r="Q94" t="s">
        <v>455</v>
      </c>
      <c r="R94" s="107">
        <v>45780.708333333336</v>
      </c>
      <c r="S94" s="107">
        <v>45988.416678240741</v>
      </c>
      <c r="T94"/>
      <c r="U94"/>
      <c r="V94"/>
      <c r="W94"/>
      <c r="X94"/>
      <c r="Y94"/>
      <c r="Z94"/>
      <c r="AA94" s="97">
        <v>28.633333333333336</v>
      </c>
      <c r="AB94" s="97">
        <v>28.633333333333336</v>
      </c>
      <c r="AC94" s="98">
        <v>0</v>
      </c>
      <c r="AD94" s="98">
        <v>0</v>
      </c>
      <c r="AE94" s="98">
        <v>0</v>
      </c>
      <c r="AF94">
        <v>33.5</v>
      </c>
      <c r="AG94">
        <f t="shared" si="22"/>
        <v>-33.5</v>
      </c>
      <c r="AH94" s="108">
        <v>45868</v>
      </c>
      <c r="AI94" s="109">
        <v>0.57084490740740745</v>
      </c>
      <c r="AJ94" t="s">
        <v>63</v>
      </c>
      <c r="AK94">
        <v>53.5</v>
      </c>
      <c r="AL94">
        <f t="shared" si="19"/>
        <v>-53.5</v>
      </c>
      <c r="AM94" s="29">
        <v>45918</v>
      </c>
      <c r="AN94" s="109">
        <v>0.63541666666666663</v>
      </c>
      <c r="AO94" t="s">
        <v>69</v>
      </c>
      <c r="AP94">
        <v>48</v>
      </c>
      <c r="AQ94">
        <f t="shared" si="20"/>
        <v>-48</v>
      </c>
      <c r="AR94" s="108">
        <v>45946</v>
      </c>
      <c r="AS94" s="109">
        <v>0.47569444444444442</v>
      </c>
      <c r="AT94" t="s">
        <v>69</v>
      </c>
      <c r="AU94">
        <v>30</v>
      </c>
      <c r="AV94">
        <f t="shared" si="21"/>
        <v>-30</v>
      </c>
      <c r="AW94" s="108">
        <v>45988</v>
      </c>
      <c r="AX94" s="109">
        <v>0.42499999999999999</v>
      </c>
      <c r="AY94" t="s">
        <v>69</v>
      </c>
      <c r="AZ94">
        <v>10248</v>
      </c>
    </row>
    <row r="95" spans="1:52" s="17" customFormat="1" ht="14" customHeight="1" x14ac:dyDescent="0.15">
      <c r="A95" s="17" t="s">
        <v>107</v>
      </c>
      <c r="B95" s="28">
        <v>47.625349999999997</v>
      </c>
      <c r="C95" s="28">
        <v>-64.819519999999997</v>
      </c>
      <c r="D95" s="17" t="s">
        <v>37</v>
      </c>
      <c r="E95" s="26" t="s">
        <v>252</v>
      </c>
      <c r="F95" s="17" t="s">
        <v>77</v>
      </c>
      <c r="G95" s="17" t="s">
        <v>108</v>
      </c>
      <c r="H95" s="26" t="s">
        <v>109</v>
      </c>
      <c r="I95" s="26" t="s">
        <v>37</v>
      </c>
      <c r="J95" s="45">
        <v>22220788</v>
      </c>
      <c r="K95" s="26" t="s">
        <v>418</v>
      </c>
      <c r="L95" s="26"/>
      <c r="M95" s="26">
        <v>132</v>
      </c>
      <c r="N95" s="26" t="s">
        <v>37</v>
      </c>
      <c r="O95" s="26" t="s">
        <v>37</v>
      </c>
      <c r="P95" s="26" t="s">
        <v>37</v>
      </c>
      <c r="Q95" s="26" t="s">
        <v>110</v>
      </c>
      <c r="R95" s="47" t="s">
        <v>111</v>
      </c>
      <c r="S95" s="47">
        <v>45859.416678240741</v>
      </c>
      <c r="T95" s="27"/>
      <c r="U95" s="27"/>
      <c r="V95" s="27"/>
      <c r="W95" s="27"/>
      <c r="X95" s="27"/>
      <c r="Y95" s="27"/>
      <c r="Z95" s="27"/>
      <c r="AA95" s="30">
        <v>20.666666666666668</v>
      </c>
      <c r="AB95" s="30">
        <v>20.666666666666668</v>
      </c>
      <c r="AC95" s="43">
        <v>20.5</v>
      </c>
      <c r="AD95" s="43">
        <v>21</v>
      </c>
      <c r="AE95" s="43">
        <v>20.5</v>
      </c>
      <c r="AF95" s="17">
        <v>78</v>
      </c>
      <c r="AG95" s="26"/>
      <c r="AH95" s="29">
        <v>45806</v>
      </c>
      <c r="AI95" s="31">
        <v>0.33334490740740735</v>
      </c>
      <c r="AJ95" s="17" t="s">
        <v>45</v>
      </c>
      <c r="AK95" s="17">
        <v>96.1</v>
      </c>
      <c r="AL95" s="17">
        <f t="shared" si="19"/>
        <v>-96.1</v>
      </c>
      <c r="AM95" s="38">
        <v>45859</v>
      </c>
      <c r="AN95" s="39">
        <v>0.44306712962962963</v>
      </c>
      <c r="AQ95" s="17">
        <f t="shared" si="20"/>
        <v>0</v>
      </c>
      <c r="AV95" s="17">
        <f t="shared" si="21"/>
        <v>0</v>
      </c>
      <c r="AW95" s="26"/>
      <c r="AX95" s="26"/>
      <c r="AY95" s="26"/>
      <c r="AZ95" s="26">
        <v>6915</v>
      </c>
    </row>
    <row r="96" spans="1:52" ht="16" customHeight="1" x14ac:dyDescent="0.15">
      <c r="A96" s="17" t="s">
        <v>511</v>
      </c>
      <c r="B96" s="32">
        <v>47.624980000000001</v>
      </c>
      <c r="C96" s="32">
        <v>-64.833640000000003</v>
      </c>
      <c r="D96" s="17" t="s">
        <v>37</v>
      </c>
      <c r="E96" s="26" t="s">
        <v>252</v>
      </c>
      <c r="F96" s="17" t="s">
        <v>77</v>
      </c>
      <c r="G96" s="17" t="s">
        <v>120</v>
      </c>
      <c r="H96" s="26" t="s">
        <v>117</v>
      </c>
      <c r="I96" s="26" t="s">
        <v>37</v>
      </c>
      <c r="J96" s="45">
        <v>22220788</v>
      </c>
      <c r="K96" s="26" t="s">
        <v>418</v>
      </c>
      <c r="M96" s="26">
        <v>131.5</v>
      </c>
      <c r="N96" s="26" t="s">
        <v>37</v>
      </c>
      <c r="O96" s="26" t="s">
        <v>37</v>
      </c>
      <c r="P96" s="26" t="s">
        <v>37</v>
      </c>
      <c r="R96" s="47">
        <v>45864.583344907405</v>
      </c>
      <c r="S96" s="34">
        <v>45974.500011574077</v>
      </c>
      <c r="AA96" s="30">
        <v>60.566666666666663</v>
      </c>
      <c r="AB96" s="30">
        <v>60.566666666666663</v>
      </c>
      <c r="AC96" s="43">
        <v>0</v>
      </c>
      <c r="AD96" s="43">
        <v>0</v>
      </c>
      <c r="AE96" s="43">
        <v>0</v>
      </c>
      <c r="AF96" s="26">
        <v>105</v>
      </c>
      <c r="AG96" s="17">
        <f>AF96*-1</f>
        <v>-105</v>
      </c>
      <c r="AH96" s="38">
        <v>45974</v>
      </c>
      <c r="AI96" s="39">
        <v>0.53749999999999998</v>
      </c>
      <c r="AJ96" s="17" t="s">
        <v>69</v>
      </c>
      <c r="AL96" s="17">
        <f t="shared" si="19"/>
        <v>0</v>
      </c>
      <c r="AQ96" s="17">
        <f>AK96*-1</f>
        <v>0</v>
      </c>
      <c r="AV96" s="17">
        <f t="shared" si="21"/>
        <v>0</v>
      </c>
      <c r="AZ96" s="26">
        <v>6915</v>
      </c>
    </row>
    <row r="97" spans="1:52" ht="16" customHeight="1" x14ac:dyDescent="0.15">
      <c r="A97" s="17" t="s">
        <v>112</v>
      </c>
      <c r="B97" s="28">
        <v>47.625430000000001</v>
      </c>
      <c r="C97" s="28">
        <v>-64.819509999999994</v>
      </c>
      <c r="D97" s="17" t="s">
        <v>37</v>
      </c>
      <c r="E97" s="26" t="s">
        <v>252</v>
      </c>
      <c r="F97" s="17" t="s">
        <v>77</v>
      </c>
      <c r="G97" s="17" t="s">
        <v>113</v>
      </c>
      <c r="H97" s="26" t="s">
        <v>114</v>
      </c>
      <c r="I97" s="26" t="s">
        <v>37</v>
      </c>
      <c r="J97" s="45">
        <v>22220789</v>
      </c>
      <c r="K97" s="26" t="s">
        <v>418</v>
      </c>
      <c r="M97" s="26">
        <v>131.30000000000001</v>
      </c>
      <c r="N97" s="26" t="s">
        <v>37</v>
      </c>
      <c r="O97" s="26" t="s">
        <v>37</v>
      </c>
      <c r="P97" s="26" t="s">
        <v>37</v>
      </c>
      <c r="Q97" s="26" t="s">
        <v>115</v>
      </c>
      <c r="R97" s="47" t="s">
        <v>111</v>
      </c>
      <c r="S97" s="47">
        <v>45859.416678240741</v>
      </c>
      <c r="AA97" s="30">
        <v>37.766666666666666</v>
      </c>
      <c r="AB97" s="30">
        <v>37.766666666666666</v>
      </c>
      <c r="AC97" s="43">
        <v>37.799999999999997</v>
      </c>
      <c r="AD97" s="43">
        <v>37.5</v>
      </c>
      <c r="AE97" s="43">
        <v>38</v>
      </c>
      <c r="AF97" s="17">
        <v>87.4</v>
      </c>
      <c r="AH97" s="29">
        <v>45806</v>
      </c>
      <c r="AI97" s="31">
        <v>0.33334490740740735</v>
      </c>
      <c r="AJ97" s="17" t="s">
        <v>45</v>
      </c>
      <c r="AK97" s="17">
        <v>101.9</v>
      </c>
      <c r="AL97" s="17">
        <f t="shared" si="19"/>
        <v>-101.9</v>
      </c>
      <c r="AM97" s="38">
        <v>45859</v>
      </c>
      <c r="AN97" s="39">
        <v>0.4409837962962963</v>
      </c>
      <c r="AO97" s="17"/>
      <c r="AP97" s="17"/>
      <c r="AQ97" s="17">
        <f t="shared" ref="AQ97:AQ108" si="23">AP97*-1</f>
        <v>0</v>
      </c>
      <c r="AR97" s="17"/>
      <c r="AS97" s="17"/>
      <c r="AT97" s="17"/>
      <c r="AU97" s="17"/>
      <c r="AV97" s="17">
        <f t="shared" si="21"/>
        <v>0</v>
      </c>
      <c r="AZ97" s="26">
        <v>6915</v>
      </c>
    </row>
    <row r="98" spans="1:52" ht="16" customHeight="1" x14ac:dyDescent="0.15">
      <c r="A98" s="17" t="s">
        <v>499</v>
      </c>
      <c r="B98" s="32">
        <v>47.645229999999998</v>
      </c>
      <c r="C98" s="32">
        <v>-64.833629999999999</v>
      </c>
      <c r="D98" s="17" t="s">
        <v>37</v>
      </c>
      <c r="E98" s="26" t="s">
        <v>252</v>
      </c>
      <c r="F98" s="17" t="s">
        <v>77</v>
      </c>
      <c r="G98" s="17" t="s">
        <v>119</v>
      </c>
      <c r="H98" s="26" t="s">
        <v>117</v>
      </c>
      <c r="I98" s="26" t="s">
        <v>37</v>
      </c>
      <c r="J98" s="45">
        <v>22220789</v>
      </c>
      <c r="K98" s="26" t="s">
        <v>418</v>
      </c>
      <c r="M98" s="26">
        <v>131.19999999999999</v>
      </c>
      <c r="N98" s="26" t="s">
        <v>37</v>
      </c>
      <c r="O98" s="26" t="s">
        <v>37</v>
      </c>
      <c r="P98" s="26" t="s">
        <v>37</v>
      </c>
      <c r="Q98" s="26" t="s">
        <v>118</v>
      </c>
      <c r="R98" s="47">
        <v>45864.583344907405</v>
      </c>
      <c r="S98" s="34">
        <v>45974.500011574077</v>
      </c>
      <c r="AA98" s="30">
        <v>39.066666666666663</v>
      </c>
      <c r="AB98" s="30">
        <v>39.066666666666663</v>
      </c>
      <c r="AC98" s="43">
        <v>0</v>
      </c>
      <c r="AD98" s="43">
        <v>0</v>
      </c>
      <c r="AE98" s="43">
        <v>0</v>
      </c>
      <c r="AF98" s="26">
        <v>64.5</v>
      </c>
      <c r="AG98" s="17">
        <f>AF98*-1</f>
        <v>-64.5</v>
      </c>
      <c r="AH98" s="38">
        <v>45974</v>
      </c>
      <c r="AI98" s="39">
        <v>0.53888888888888886</v>
      </c>
      <c r="AJ98" s="17" t="s">
        <v>69</v>
      </c>
      <c r="AL98" s="17">
        <f t="shared" si="19"/>
        <v>0</v>
      </c>
      <c r="AQ98" s="17">
        <f t="shared" si="23"/>
        <v>0</v>
      </c>
      <c r="AV98" s="17">
        <f t="shared" si="21"/>
        <v>0</v>
      </c>
      <c r="AZ98" s="26">
        <v>6915</v>
      </c>
    </row>
    <row r="99" spans="1:52" ht="16" customHeight="1" x14ac:dyDescent="0.15">
      <c r="A99" s="17" t="s">
        <v>452</v>
      </c>
      <c r="B99" s="32">
        <v>47.622970000000002</v>
      </c>
      <c r="C99" s="33" t="s">
        <v>194</v>
      </c>
      <c r="D99" s="17" t="s">
        <v>37</v>
      </c>
      <c r="E99" s="26" t="s">
        <v>252</v>
      </c>
      <c r="F99" s="17" t="s">
        <v>77</v>
      </c>
      <c r="G99" s="17" t="s">
        <v>195</v>
      </c>
      <c r="H99" s="17" t="s">
        <v>87</v>
      </c>
      <c r="I99" s="26" t="s">
        <v>37</v>
      </c>
      <c r="J99" s="46">
        <v>22220791</v>
      </c>
      <c r="K99" s="26" t="s">
        <v>418</v>
      </c>
      <c r="L99" s="17"/>
      <c r="M99" s="17">
        <v>135</v>
      </c>
      <c r="N99" s="26" t="s">
        <v>37</v>
      </c>
      <c r="O99" s="26" t="s">
        <v>37</v>
      </c>
      <c r="P99" s="26" t="s">
        <v>37</v>
      </c>
      <c r="Q99" s="17"/>
      <c r="R99" s="48" t="s">
        <v>89</v>
      </c>
      <c r="S99" s="64" t="s">
        <v>449</v>
      </c>
      <c r="T99" s="40"/>
      <c r="U99" s="40"/>
      <c r="V99" s="40"/>
      <c r="W99" s="40"/>
      <c r="X99" s="40"/>
      <c r="Y99" s="40"/>
      <c r="Z99" s="40"/>
      <c r="AA99" s="36">
        <v>33.816666666666663</v>
      </c>
      <c r="AB99" s="30">
        <v>33.816666666666663</v>
      </c>
      <c r="AC99" s="43">
        <v>0</v>
      </c>
      <c r="AD99" s="43">
        <v>0</v>
      </c>
      <c r="AE99" s="43">
        <v>0</v>
      </c>
      <c r="AF99" s="17">
        <v>95.5</v>
      </c>
      <c r="AG99" s="17">
        <f>AF99*-1</f>
        <v>-95.5</v>
      </c>
      <c r="AH99" s="38">
        <v>45859</v>
      </c>
      <c r="AI99" s="39">
        <v>0.62084490740740739</v>
      </c>
      <c r="AJ99" s="17" t="s">
        <v>45</v>
      </c>
      <c r="AK99" s="17">
        <v>77.75</v>
      </c>
      <c r="AL99" s="17">
        <f t="shared" si="19"/>
        <v>-77.75</v>
      </c>
      <c r="AM99" s="38">
        <v>45974</v>
      </c>
      <c r="AN99" s="39">
        <v>0.5131944444444444</v>
      </c>
      <c r="AO99" s="17" t="s">
        <v>69</v>
      </c>
      <c r="AP99" s="17"/>
      <c r="AQ99" s="17">
        <f t="shared" si="23"/>
        <v>0</v>
      </c>
      <c r="AR99" s="17"/>
      <c r="AS99" s="17"/>
      <c r="AT99" s="17"/>
      <c r="AU99" s="17"/>
      <c r="AV99" s="17">
        <f t="shared" si="21"/>
        <v>0</v>
      </c>
      <c r="AW99" s="17"/>
      <c r="AX99" s="17"/>
      <c r="AY99" s="17"/>
      <c r="AZ99" s="26">
        <v>6915</v>
      </c>
    </row>
    <row r="100" spans="1:52" ht="16" customHeight="1" x14ac:dyDescent="0.2">
      <c r="A100" s="17" t="s">
        <v>450</v>
      </c>
      <c r="B100" s="32">
        <v>47.171570000000003</v>
      </c>
      <c r="C100" s="33" t="s">
        <v>50</v>
      </c>
      <c r="D100" s="17" t="s">
        <v>37</v>
      </c>
      <c r="E100" s="26" t="s">
        <v>252</v>
      </c>
      <c r="F100" s="17" t="s">
        <v>54</v>
      </c>
      <c r="G100" s="17" t="s">
        <v>51</v>
      </c>
      <c r="H100" s="17" t="s">
        <v>431</v>
      </c>
      <c r="I100" s="26" t="s">
        <v>37</v>
      </c>
      <c r="J100" s="46">
        <v>22224381</v>
      </c>
      <c r="K100" s="26" t="s">
        <v>418</v>
      </c>
      <c r="L100" s="17"/>
      <c r="M100" s="17">
        <v>102</v>
      </c>
      <c r="N100" s="26" t="s">
        <v>37</v>
      </c>
      <c r="O100" s="26" t="s">
        <v>37</v>
      </c>
      <c r="P100" s="26" t="s">
        <v>37</v>
      </c>
      <c r="Q100" s="17"/>
      <c r="R100" s="48">
        <v>45795.500011574077</v>
      </c>
      <c r="S100" s="48">
        <v>45974.333344907405</v>
      </c>
      <c r="T100" s="35"/>
      <c r="U100" s="35"/>
      <c r="V100" s="35"/>
      <c r="W100" s="35"/>
      <c r="X100" s="35"/>
      <c r="Y100" s="35"/>
      <c r="Z100" s="35"/>
      <c r="AA100" s="30">
        <v>55.722222222222221</v>
      </c>
      <c r="AB100" s="30">
        <v>55.722222222222221</v>
      </c>
      <c r="AC100" s="43">
        <v>0</v>
      </c>
      <c r="AD100" s="43">
        <v>0</v>
      </c>
      <c r="AE100" s="43">
        <v>0</v>
      </c>
      <c r="AF100" s="17">
        <v>81.400000000000006</v>
      </c>
      <c r="AG100" s="17">
        <f>AF100*-1</f>
        <v>-81.400000000000006</v>
      </c>
      <c r="AH100" s="38">
        <v>45856</v>
      </c>
      <c r="AI100" s="39">
        <v>0.62501157407407404</v>
      </c>
      <c r="AJ100" s="17" t="s">
        <v>45</v>
      </c>
      <c r="AK100" s="17">
        <v>91.2</v>
      </c>
      <c r="AL100" s="17">
        <f t="shared" si="19"/>
        <v>-91.2</v>
      </c>
      <c r="AM100" s="38">
        <v>45497</v>
      </c>
      <c r="AN100" s="39">
        <v>0.33334490740740735</v>
      </c>
      <c r="AO100" s="17" t="s">
        <v>45</v>
      </c>
      <c r="AP100" s="17">
        <v>70</v>
      </c>
      <c r="AQ100" s="17">
        <f t="shared" si="23"/>
        <v>-70</v>
      </c>
      <c r="AR100" s="29">
        <v>45974</v>
      </c>
      <c r="AS100" s="31">
        <v>0.34652777777777777</v>
      </c>
      <c r="AT100" s="26" t="s">
        <v>69</v>
      </c>
      <c r="AV100" s="17">
        <f t="shared" si="21"/>
        <v>0</v>
      </c>
      <c r="AZ100">
        <v>6128</v>
      </c>
    </row>
    <row r="101" spans="1:52" ht="16" customHeight="1" x14ac:dyDescent="0.2">
      <c r="A101" s="17" t="s">
        <v>498</v>
      </c>
      <c r="B101" s="32">
        <v>47.169559999999997</v>
      </c>
      <c r="C101" s="33" t="s">
        <v>46</v>
      </c>
      <c r="D101" s="17" t="s">
        <v>37</v>
      </c>
      <c r="E101" s="26" t="s">
        <v>252</v>
      </c>
      <c r="F101" s="17" t="s">
        <v>54</v>
      </c>
      <c r="G101" t="s">
        <v>47</v>
      </c>
      <c r="H101" s="17" t="s">
        <v>433</v>
      </c>
      <c r="I101" s="26" t="s">
        <v>37</v>
      </c>
      <c r="J101" s="46">
        <v>22224384</v>
      </c>
      <c r="K101" s="26" t="s">
        <v>418</v>
      </c>
      <c r="L101" s="17"/>
      <c r="M101" s="17">
        <v>103.8</v>
      </c>
      <c r="N101" s="26" t="s">
        <v>37</v>
      </c>
      <c r="O101" s="26" t="s">
        <v>37</v>
      </c>
      <c r="P101" s="26" t="s">
        <v>37</v>
      </c>
      <c r="Q101" s="17" t="s">
        <v>48</v>
      </c>
      <c r="R101" s="48">
        <v>45858.375011574077</v>
      </c>
      <c r="S101" s="34">
        <v>45974.333333333336</v>
      </c>
      <c r="T101" s="35"/>
      <c r="U101" s="35"/>
      <c r="V101" s="35"/>
      <c r="W101" s="35"/>
      <c r="X101" s="35"/>
      <c r="Y101" s="35"/>
      <c r="Z101" s="35"/>
      <c r="AA101" s="36">
        <v>72.600000000000009</v>
      </c>
      <c r="AB101" s="36">
        <v>72.600000000000009</v>
      </c>
      <c r="AC101" s="44">
        <v>0</v>
      </c>
      <c r="AD101" s="44">
        <v>0</v>
      </c>
      <c r="AE101" s="44">
        <v>0</v>
      </c>
      <c r="AF101" s="17" t="s">
        <v>37</v>
      </c>
      <c r="AG101" s="8" t="s">
        <v>37</v>
      </c>
      <c r="AH101" s="38">
        <v>45862</v>
      </c>
      <c r="AI101" s="39">
        <v>0.29167824074074072</v>
      </c>
      <c r="AJ101" s="17" t="s">
        <v>45</v>
      </c>
      <c r="AK101" s="17">
        <v>98</v>
      </c>
      <c r="AL101" s="17">
        <f t="shared" si="19"/>
        <v>-98</v>
      </c>
      <c r="AM101" s="29" t="s">
        <v>474</v>
      </c>
      <c r="AN101" s="31">
        <v>0.35138888888888892</v>
      </c>
      <c r="AO101" s="17" t="s">
        <v>69</v>
      </c>
      <c r="AP101" s="17"/>
      <c r="AQ101" s="17">
        <f t="shared" si="23"/>
        <v>0</v>
      </c>
      <c r="AV101" s="17">
        <f t="shared" si="21"/>
        <v>0</v>
      </c>
      <c r="AZ101">
        <v>6128</v>
      </c>
    </row>
    <row r="102" spans="1:52" ht="16" customHeight="1" x14ac:dyDescent="0.15">
      <c r="A102" s="34" t="s">
        <v>90</v>
      </c>
      <c r="B102" s="32">
        <v>47.623280000000001</v>
      </c>
      <c r="C102" s="33" t="s">
        <v>91</v>
      </c>
      <c r="D102" s="17" t="s">
        <v>37</v>
      </c>
      <c r="E102" s="26" t="s">
        <v>252</v>
      </c>
      <c r="F102" s="17" t="s">
        <v>77</v>
      </c>
      <c r="G102" s="17" t="s">
        <v>92</v>
      </c>
      <c r="H102" s="17" t="s">
        <v>93</v>
      </c>
      <c r="I102" s="26" t="s">
        <v>37</v>
      </c>
      <c r="J102" s="46">
        <v>22224386</v>
      </c>
      <c r="K102" s="26" t="s">
        <v>418</v>
      </c>
      <c r="L102" s="17"/>
      <c r="M102" s="17">
        <v>140.1</v>
      </c>
      <c r="N102" s="26" t="s">
        <v>37</v>
      </c>
      <c r="O102" s="26" t="s">
        <v>37</v>
      </c>
      <c r="P102" s="26" t="s">
        <v>37</v>
      </c>
      <c r="Q102" s="17" t="s">
        <v>94</v>
      </c>
      <c r="R102" s="48" t="s">
        <v>95</v>
      </c>
      <c r="S102" s="48">
        <v>45859.583344907405</v>
      </c>
      <c r="T102" s="35"/>
      <c r="U102" s="35"/>
      <c r="V102" s="35"/>
      <c r="W102" s="35"/>
      <c r="X102" s="35"/>
      <c r="Y102" s="35"/>
      <c r="Z102" s="35"/>
      <c r="AA102" s="36">
        <v>34.766666666666666</v>
      </c>
      <c r="AB102" s="36">
        <v>34.766666666666666</v>
      </c>
      <c r="AC102" s="44">
        <v>0</v>
      </c>
      <c r="AD102" s="44">
        <v>0</v>
      </c>
      <c r="AE102" s="44">
        <v>0</v>
      </c>
      <c r="AF102" s="17">
        <v>94.2</v>
      </c>
      <c r="AG102" s="17">
        <f t="shared" ref="AG102:AG108" si="24">AF102*-1</f>
        <v>-94.2</v>
      </c>
      <c r="AH102" s="29">
        <v>45859</v>
      </c>
      <c r="AI102" s="31">
        <v>0.62292824074074071</v>
      </c>
      <c r="AJ102" s="17"/>
      <c r="AK102" s="17"/>
      <c r="AL102" s="17">
        <f t="shared" si="19"/>
        <v>0</v>
      </c>
      <c r="AM102" s="17"/>
      <c r="AN102" s="17"/>
      <c r="AO102" s="17"/>
      <c r="AP102" s="17"/>
      <c r="AQ102" s="17">
        <f t="shared" si="23"/>
        <v>0</v>
      </c>
      <c r="AR102" s="17"/>
      <c r="AS102" s="17"/>
      <c r="AT102" s="17"/>
      <c r="AU102" s="17"/>
      <c r="AV102" s="17">
        <f t="shared" si="21"/>
        <v>0</v>
      </c>
      <c r="AW102" s="17"/>
      <c r="AX102" s="17"/>
      <c r="AY102" s="17"/>
      <c r="AZ102" s="26">
        <v>6915</v>
      </c>
    </row>
    <row r="103" spans="1:52" ht="16" customHeight="1" x14ac:dyDescent="0.2">
      <c r="A103" s="26" t="s">
        <v>502</v>
      </c>
      <c r="B103" s="28">
        <v>47.789059999999999</v>
      </c>
      <c r="C103" s="28">
        <v>-69.508529999999993</v>
      </c>
      <c r="D103" s="17" t="s">
        <v>37</v>
      </c>
      <c r="E103" s="26" t="s">
        <v>252</v>
      </c>
      <c r="F103" s="26" t="s">
        <v>131</v>
      </c>
      <c r="G103" s="17" t="s">
        <v>385</v>
      </c>
      <c r="H103" s="17" t="s">
        <v>437</v>
      </c>
      <c r="I103" s="26" t="s">
        <v>37</v>
      </c>
      <c r="J103" s="45">
        <v>22224386</v>
      </c>
      <c r="K103" s="26" t="s">
        <v>418</v>
      </c>
      <c r="M103" s="26">
        <v>139.5</v>
      </c>
      <c r="N103" s="26" t="s">
        <v>37</v>
      </c>
      <c r="O103" s="26" t="s">
        <v>37</v>
      </c>
      <c r="P103" s="26" t="s">
        <v>37</v>
      </c>
      <c r="R103" s="47">
        <v>45919.541666666664</v>
      </c>
      <c r="S103" s="47">
        <v>45973.416678240741</v>
      </c>
      <c r="AA103" s="26">
        <v>102.15</v>
      </c>
      <c r="AB103" s="30">
        <f>(AC103+AD103)/2</f>
        <v>102.15</v>
      </c>
      <c r="AC103" s="43">
        <v>98.4</v>
      </c>
      <c r="AD103" s="43">
        <v>105.9</v>
      </c>
      <c r="AE103" s="43">
        <v>0</v>
      </c>
      <c r="AF103" s="26">
        <v>150</v>
      </c>
      <c r="AG103" s="8">
        <f t="shared" si="24"/>
        <v>-150</v>
      </c>
      <c r="AH103" s="29">
        <v>45937</v>
      </c>
      <c r="AI103" s="31">
        <v>0.52986111111111112</v>
      </c>
      <c r="AJ103" s="26" t="s">
        <v>69</v>
      </c>
      <c r="AK103" s="26">
        <v>116</v>
      </c>
      <c r="AL103" s="17">
        <f t="shared" si="19"/>
        <v>-116</v>
      </c>
      <c r="AM103" s="29">
        <v>45973</v>
      </c>
      <c r="AN103" s="31">
        <v>0.42777777777777781</v>
      </c>
      <c r="AO103" s="26" t="s">
        <v>69</v>
      </c>
      <c r="AQ103" s="17">
        <f t="shared" si="23"/>
        <v>0</v>
      </c>
      <c r="AV103" s="17">
        <f t="shared" si="21"/>
        <v>0</v>
      </c>
      <c r="AZ103" s="26">
        <v>8539</v>
      </c>
    </row>
    <row r="104" spans="1:52" ht="16" customHeight="1" x14ac:dyDescent="0.15">
      <c r="A104" s="17" t="s">
        <v>487</v>
      </c>
      <c r="B104" s="32">
        <v>47.623150000000003</v>
      </c>
      <c r="C104" s="33" t="s">
        <v>174</v>
      </c>
      <c r="D104" s="17" t="s">
        <v>37</v>
      </c>
      <c r="E104" s="26" t="s">
        <v>252</v>
      </c>
      <c r="F104" s="17" t="s">
        <v>77</v>
      </c>
      <c r="G104" s="17" t="s">
        <v>175</v>
      </c>
      <c r="H104" s="17" t="s">
        <v>151</v>
      </c>
      <c r="I104" s="26" t="s">
        <v>37</v>
      </c>
      <c r="J104" s="46">
        <v>22224390</v>
      </c>
      <c r="K104" s="26" t="s">
        <v>418</v>
      </c>
      <c r="L104" s="17"/>
      <c r="M104" s="17">
        <v>143</v>
      </c>
      <c r="N104" s="26" t="s">
        <v>37</v>
      </c>
      <c r="O104" s="26" t="s">
        <v>37</v>
      </c>
      <c r="P104" s="26" t="s">
        <v>37</v>
      </c>
      <c r="Q104" s="17"/>
      <c r="R104" s="48" t="s">
        <v>176</v>
      </c>
      <c r="S104" s="34">
        <v>45974.5</v>
      </c>
      <c r="T104" s="40"/>
      <c r="U104" s="40"/>
      <c r="V104" s="40"/>
      <c r="W104" s="40"/>
      <c r="X104" s="40"/>
      <c r="Y104" s="40"/>
      <c r="Z104" s="40"/>
      <c r="AA104" s="36">
        <v>29.766666666666666</v>
      </c>
      <c r="AB104" s="30">
        <v>29.766666666666666</v>
      </c>
      <c r="AC104" s="43">
        <v>0</v>
      </c>
      <c r="AD104" s="43">
        <v>0</v>
      </c>
      <c r="AE104" s="43">
        <v>0</v>
      </c>
      <c r="AF104" s="26">
        <v>83.3</v>
      </c>
      <c r="AG104" s="17">
        <f t="shared" si="24"/>
        <v>-83.3</v>
      </c>
      <c r="AH104" s="29">
        <v>45806</v>
      </c>
      <c r="AI104" s="31">
        <v>0.37501157407407404</v>
      </c>
      <c r="AJ104" s="26" t="s">
        <v>45</v>
      </c>
      <c r="AK104" s="17">
        <v>108.2</v>
      </c>
      <c r="AL104" s="17">
        <f t="shared" si="19"/>
        <v>-108.2</v>
      </c>
      <c r="AM104" s="38">
        <v>45859</v>
      </c>
      <c r="AN104" s="39">
        <v>0.63334490740740745</v>
      </c>
      <c r="AO104" s="17" t="s">
        <v>45</v>
      </c>
      <c r="AP104" s="17">
        <v>135.5</v>
      </c>
      <c r="AQ104" s="17">
        <f t="shared" si="23"/>
        <v>-135.5</v>
      </c>
      <c r="AR104" s="38">
        <v>45974</v>
      </c>
      <c r="AS104" s="39">
        <v>0.52708333333333335</v>
      </c>
      <c r="AT104" s="17" t="s">
        <v>69</v>
      </c>
      <c r="AU104" s="17"/>
      <c r="AV104" s="17">
        <f t="shared" si="21"/>
        <v>0</v>
      </c>
      <c r="AW104" s="17"/>
      <c r="AX104" s="17"/>
      <c r="AY104" s="17"/>
      <c r="AZ104" s="26">
        <v>6915</v>
      </c>
    </row>
    <row r="105" spans="1:52" ht="16" customHeight="1" x14ac:dyDescent="0.2">
      <c r="A105" s="26" t="s">
        <v>394</v>
      </c>
      <c r="B105" s="28">
        <v>47.796489999999999</v>
      </c>
      <c r="C105" s="28">
        <v>-69.508650000000003</v>
      </c>
      <c r="D105" s="17" t="s">
        <v>37</v>
      </c>
      <c r="E105" s="26" t="s">
        <v>252</v>
      </c>
      <c r="F105" s="26" t="s">
        <v>131</v>
      </c>
      <c r="G105" s="17" t="s">
        <v>132</v>
      </c>
      <c r="H105" s="26" t="s">
        <v>133</v>
      </c>
      <c r="I105" s="26" t="s">
        <v>37</v>
      </c>
      <c r="J105" s="45">
        <v>22224396</v>
      </c>
      <c r="K105" s="26" t="s">
        <v>418</v>
      </c>
      <c r="L105" s="26" t="s">
        <v>37</v>
      </c>
      <c r="M105" s="26">
        <v>135.6</v>
      </c>
      <c r="N105" s="26" t="s">
        <v>37</v>
      </c>
      <c r="O105" s="26" t="s">
        <v>37</v>
      </c>
      <c r="P105" s="26" t="s">
        <v>37</v>
      </c>
      <c r="Q105" s="26" t="s">
        <v>395</v>
      </c>
      <c r="R105" s="47">
        <v>45780.583344907405</v>
      </c>
      <c r="S105" s="47">
        <v>45866.416678240741</v>
      </c>
      <c r="AA105" s="26">
        <v>86.333333333333329</v>
      </c>
      <c r="AB105" s="30">
        <v>86.333333333333329</v>
      </c>
      <c r="AC105" s="42">
        <v>0</v>
      </c>
      <c r="AD105" s="42">
        <v>0</v>
      </c>
      <c r="AE105" s="42">
        <v>0</v>
      </c>
      <c r="AF105" s="26">
        <v>118.6</v>
      </c>
      <c r="AG105" s="8">
        <f t="shared" si="24"/>
        <v>-118.6</v>
      </c>
      <c r="AH105" s="29">
        <v>45825</v>
      </c>
      <c r="AI105" s="31">
        <v>0.35765046296296293</v>
      </c>
      <c r="AJ105" s="26" t="s">
        <v>63</v>
      </c>
      <c r="AK105" s="26">
        <v>124.3</v>
      </c>
      <c r="AL105" s="17">
        <f t="shared" si="19"/>
        <v>-124.3</v>
      </c>
      <c r="AM105" s="29">
        <v>45866</v>
      </c>
      <c r="AN105" s="31">
        <v>0.44445601851851851</v>
      </c>
      <c r="AO105" s="26" t="s">
        <v>63</v>
      </c>
      <c r="AQ105" s="8">
        <f t="shared" si="23"/>
        <v>0</v>
      </c>
      <c r="AV105" s="8">
        <f t="shared" si="21"/>
        <v>0</v>
      </c>
      <c r="AZ105" s="26">
        <v>8539</v>
      </c>
    </row>
    <row r="106" spans="1:52" ht="16" customHeight="1" x14ac:dyDescent="0.2">
      <c r="A106" s="26" t="s">
        <v>507</v>
      </c>
      <c r="B106" s="28">
        <v>47.796540159999999</v>
      </c>
      <c r="C106" s="28">
        <v>-69.506358000000006</v>
      </c>
      <c r="D106" s="17" t="s">
        <v>37</v>
      </c>
      <c r="E106" s="26" t="s">
        <v>252</v>
      </c>
      <c r="F106" s="26" t="s">
        <v>131</v>
      </c>
      <c r="G106" s="17" t="s">
        <v>387</v>
      </c>
      <c r="H106" s="17" t="s">
        <v>436</v>
      </c>
      <c r="I106" s="26" t="s">
        <v>37</v>
      </c>
      <c r="J106" s="45">
        <v>22224396</v>
      </c>
      <c r="K106" s="26" t="s">
        <v>418</v>
      </c>
      <c r="M106" s="26">
        <v>99.3</v>
      </c>
      <c r="N106" s="26" t="s">
        <v>37</v>
      </c>
      <c r="O106" s="26" t="s">
        <v>37</v>
      </c>
      <c r="P106" s="26" t="s">
        <v>37</v>
      </c>
      <c r="Q106" s="26" t="s">
        <v>442</v>
      </c>
      <c r="R106" s="47">
        <v>45939.645833333336</v>
      </c>
      <c r="S106" s="47">
        <v>45973.416678240741</v>
      </c>
      <c r="AA106" s="26">
        <f>SUM(AC106:AE106)/3</f>
        <v>49.166666666666664</v>
      </c>
      <c r="AB106" s="26">
        <v>49.166666666666664</v>
      </c>
      <c r="AC106" s="43">
        <v>51</v>
      </c>
      <c r="AD106" s="43">
        <v>48</v>
      </c>
      <c r="AE106" s="43">
        <v>48.5</v>
      </c>
      <c r="AF106" s="26">
        <v>66.5</v>
      </c>
      <c r="AG106" s="8">
        <f t="shared" si="24"/>
        <v>-66.5</v>
      </c>
      <c r="AH106" s="29">
        <v>45973</v>
      </c>
      <c r="AI106" s="31">
        <v>0.44305555555555554</v>
      </c>
      <c r="AJ106" s="26" t="s">
        <v>69</v>
      </c>
      <c r="AL106" s="17">
        <f t="shared" si="19"/>
        <v>0</v>
      </c>
      <c r="AQ106" s="17">
        <f t="shared" si="23"/>
        <v>0</v>
      </c>
      <c r="AV106" s="17">
        <f t="shared" si="21"/>
        <v>0</v>
      </c>
      <c r="AZ106" s="26">
        <v>8539</v>
      </c>
    </row>
    <row r="107" spans="1:52" ht="16" customHeight="1" x14ac:dyDescent="0.15">
      <c r="A107" s="17" t="s">
        <v>510</v>
      </c>
      <c r="B107" s="32">
        <v>47.622790000000002</v>
      </c>
      <c r="C107" s="33" t="s">
        <v>147</v>
      </c>
      <c r="D107" s="17" t="s">
        <v>37</v>
      </c>
      <c r="E107" s="26" t="s">
        <v>252</v>
      </c>
      <c r="F107" s="17" t="s">
        <v>77</v>
      </c>
      <c r="G107" s="17" t="s">
        <v>148</v>
      </c>
      <c r="H107" s="17" t="s">
        <v>143</v>
      </c>
      <c r="I107" s="26" t="s">
        <v>37</v>
      </c>
      <c r="J107" s="46">
        <v>22224397</v>
      </c>
      <c r="K107" s="26" t="s">
        <v>418</v>
      </c>
      <c r="L107" s="17"/>
      <c r="M107" s="17">
        <v>229.8</v>
      </c>
      <c r="N107" s="26" t="s">
        <v>37</v>
      </c>
      <c r="O107" s="26" t="s">
        <v>37</v>
      </c>
      <c r="P107" s="26" t="s">
        <v>37</v>
      </c>
      <c r="Q107" s="17"/>
      <c r="R107" s="48">
        <v>45808.458344907405</v>
      </c>
      <c r="S107" s="34">
        <v>45974.5</v>
      </c>
      <c r="T107" s="40"/>
      <c r="U107" s="40"/>
      <c r="V107" s="40"/>
      <c r="W107" s="40"/>
      <c r="X107" s="40"/>
      <c r="Y107" s="40"/>
      <c r="Z107" s="40"/>
      <c r="AA107" s="30">
        <v>60.166666666666671</v>
      </c>
      <c r="AB107" s="30">
        <v>60.166666666666671</v>
      </c>
      <c r="AC107" s="43">
        <v>0</v>
      </c>
      <c r="AD107" s="43">
        <v>0</v>
      </c>
      <c r="AE107" s="43">
        <v>0</v>
      </c>
      <c r="AF107" s="17">
        <v>140.69999999999999</v>
      </c>
      <c r="AG107" s="17">
        <f t="shared" si="24"/>
        <v>-140.69999999999999</v>
      </c>
      <c r="AH107" s="29">
        <v>45859</v>
      </c>
      <c r="AI107" s="31">
        <v>0.5486226851851852</v>
      </c>
      <c r="AJ107" s="17" t="s">
        <v>45</v>
      </c>
      <c r="AK107" s="17">
        <v>134.5</v>
      </c>
      <c r="AL107" s="17">
        <f t="shared" si="19"/>
        <v>-134.5</v>
      </c>
      <c r="AM107" s="38">
        <v>45974</v>
      </c>
      <c r="AN107" s="39">
        <v>0.50277777777777777</v>
      </c>
      <c r="AO107" s="17" t="s">
        <v>69</v>
      </c>
      <c r="AP107" s="17"/>
      <c r="AQ107" s="17">
        <f t="shared" si="23"/>
        <v>0</v>
      </c>
      <c r="AR107" s="17"/>
      <c r="AS107" s="17"/>
      <c r="AT107" s="17"/>
      <c r="AU107" s="17"/>
      <c r="AV107" s="17">
        <f t="shared" si="21"/>
        <v>0</v>
      </c>
      <c r="AW107" s="17"/>
      <c r="AX107" s="17"/>
      <c r="AY107" s="17"/>
      <c r="AZ107" s="26">
        <v>6915</v>
      </c>
    </row>
    <row r="108" spans="1:52" ht="16" customHeight="1" x14ac:dyDescent="0.15">
      <c r="A108" s="17" t="s">
        <v>501</v>
      </c>
      <c r="B108" s="32">
        <v>47.623339999999999</v>
      </c>
      <c r="C108" s="33" t="s">
        <v>155</v>
      </c>
      <c r="D108" s="17" t="s">
        <v>37</v>
      </c>
      <c r="E108" s="26" t="s">
        <v>252</v>
      </c>
      <c r="F108" s="17" t="s">
        <v>77</v>
      </c>
      <c r="G108" s="17" t="s">
        <v>156</v>
      </c>
      <c r="H108" s="17" t="s">
        <v>151</v>
      </c>
      <c r="I108" s="26" t="s">
        <v>37</v>
      </c>
      <c r="J108" s="46">
        <v>22224400</v>
      </c>
      <c r="K108" s="26" t="s">
        <v>418</v>
      </c>
      <c r="L108" s="17"/>
      <c r="M108" s="17">
        <v>167</v>
      </c>
      <c r="N108" s="26" t="s">
        <v>37</v>
      </c>
      <c r="O108" s="26" t="s">
        <v>37</v>
      </c>
      <c r="P108" s="26" t="s">
        <v>37</v>
      </c>
      <c r="Q108" s="17" t="s">
        <v>425</v>
      </c>
      <c r="R108" s="48" t="s">
        <v>152</v>
      </c>
      <c r="S108" s="34">
        <v>45974.5</v>
      </c>
      <c r="T108" s="40"/>
      <c r="U108" s="40"/>
      <c r="V108" s="40"/>
      <c r="W108" s="40"/>
      <c r="X108" s="40"/>
      <c r="Y108" s="40"/>
      <c r="Z108" s="40"/>
      <c r="AA108" s="17">
        <v>42.066666666666649</v>
      </c>
      <c r="AB108" s="30">
        <v>42.066666666666649</v>
      </c>
      <c r="AC108" s="43">
        <v>0</v>
      </c>
      <c r="AD108" s="43">
        <v>0</v>
      </c>
      <c r="AE108" s="43">
        <v>0</v>
      </c>
      <c r="AF108" s="17">
        <v>84.4</v>
      </c>
      <c r="AG108" s="17">
        <f t="shared" si="24"/>
        <v>-84.4</v>
      </c>
      <c r="AH108" s="29">
        <v>45859</v>
      </c>
      <c r="AI108" s="31">
        <v>0.63612268518518522</v>
      </c>
      <c r="AJ108" s="17" t="s">
        <v>45</v>
      </c>
      <c r="AK108" s="17">
        <v>89</v>
      </c>
      <c r="AL108" s="17">
        <f t="shared" si="19"/>
        <v>-89</v>
      </c>
      <c r="AM108" s="38">
        <v>45974</v>
      </c>
      <c r="AN108" s="39">
        <v>0.53055555555555556</v>
      </c>
      <c r="AO108" s="17" t="s">
        <v>69</v>
      </c>
      <c r="AP108" s="17"/>
      <c r="AQ108" s="17">
        <f t="shared" si="23"/>
        <v>0</v>
      </c>
      <c r="AR108" s="17"/>
      <c r="AS108" s="17"/>
      <c r="AT108" s="17"/>
      <c r="AU108" s="17"/>
      <c r="AV108" s="17">
        <f t="shared" si="21"/>
        <v>0</v>
      </c>
      <c r="AW108" s="17"/>
      <c r="AX108" s="17"/>
      <c r="AY108" s="17"/>
      <c r="AZ108" s="26">
        <v>6915</v>
      </c>
    </row>
    <row r="109" spans="1:52" ht="16" customHeight="1" x14ac:dyDescent="0.2">
      <c r="A109" s="17" t="s">
        <v>70</v>
      </c>
      <c r="B109" s="32">
        <v>47.179220000000001</v>
      </c>
      <c r="C109" s="33" t="s">
        <v>55</v>
      </c>
      <c r="D109" s="17" t="s">
        <v>37</v>
      </c>
      <c r="E109" s="26" t="s">
        <v>252</v>
      </c>
      <c r="F109" s="17" t="s">
        <v>54</v>
      </c>
      <c r="G109" s="13" t="s">
        <v>56</v>
      </c>
      <c r="H109" s="26" t="s">
        <v>57</v>
      </c>
      <c r="I109" s="26" t="s">
        <v>37</v>
      </c>
      <c r="J109" s="46">
        <v>22224401</v>
      </c>
      <c r="K109" s="26" t="s">
        <v>418</v>
      </c>
      <c r="L109" s="26" t="s">
        <v>37</v>
      </c>
      <c r="M109" s="26" t="s">
        <v>37</v>
      </c>
      <c r="N109" s="26" t="s">
        <v>37</v>
      </c>
      <c r="O109" s="26" t="s">
        <v>37</v>
      </c>
      <c r="P109" s="26" t="s">
        <v>37</v>
      </c>
      <c r="R109" s="47">
        <v>45806.583344907405</v>
      </c>
      <c r="S109" s="47">
        <v>45861.291678240741</v>
      </c>
      <c r="AA109" s="30" t="s">
        <v>37</v>
      </c>
      <c r="AB109" s="30" t="s">
        <v>37</v>
      </c>
      <c r="AC109" s="43" t="s">
        <v>37</v>
      </c>
      <c r="AD109" s="43" t="s">
        <v>37</v>
      </c>
      <c r="AE109" s="43" t="s">
        <v>37</v>
      </c>
      <c r="AF109" s="26" t="s">
        <v>37</v>
      </c>
      <c r="AG109" s="26" t="s">
        <v>37</v>
      </c>
      <c r="AH109" s="26" t="s">
        <v>37</v>
      </c>
      <c r="AI109" s="26" t="s">
        <v>37</v>
      </c>
      <c r="AJ109" s="26" t="s">
        <v>37</v>
      </c>
      <c r="AK109" s="26" t="s">
        <v>37</v>
      </c>
      <c r="AL109" s="26" t="s">
        <v>37</v>
      </c>
      <c r="AM109" s="26" t="s">
        <v>37</v>
      </c>
      <c r="AN109" s="26" t="s">
        <v>37</v>
      </c>
      <c r="AO109" s="26" t="s">
        <v>37</v>
      </c>
      <c r="AP109" s="26" t="s">
        <v>37</v>
      </c>
      <c r="AQ109" s="26" t="s">
        <v>37</v>
      </c>
      <c r="AR109" s="26" t="s">
        <v>37</v>
      </c>
      <c r="AS109" s="26" t="s">
        <v>37</v>
      </c>
      <c r="AT109" s="26" t="s">
        <v>37</v>
      </c>
      <c r="AU109" s="26" t="s">
        <v>37</v>
      </c>
      <c r="AV109" s="26" t="s">
        <v>37</v>
      </c>
      <c r="AW109" s="26" t="s">
        <v>37</v>
      </c>
      <c r="AX109" s="26" t="s">
        <v>37</v>
      </c>
      <c r="AY109" s="26" t="s">
        <v>37</v>
      </c>
      <c r="AZ109">
        <v>6128</v>
      </c>
    </row>
    <row r="110" spans="1:52" ht="16" customHeight="1" x14ac:dyDescent="0.2">
      <c r="A110" s="17" t="s">
        <v>500</v>
      </c>
      <c r="B110" s="32">
        <v>47.179220000000001</v>
      </c>
      <c r="C110" s="33" t="s">
        <v>55</v>
      </c>
      <c r="D110" s="17" t="s">
        <v>37</v>
      </c>
      <c r="E110" s="26" t="s">
        <v>252</v>
      </c>
      <c r="F110" s="17" t="s">
        <v>54</v>
      </c>
      <c r="G110" s="13" t="s">
        <v>56</v>
      </c>
      <c r="H110" s="26" t="s">
        <v>57</v>
      </c>
      <c r="I110" s="26" t="s">
        <v>37</v>
      </c>
      <c r="J110" s="46">
        <v>22224401</v>
      </c>
      <c r="K110" s="26" t="s">
        <v>418</v>
      </c>
      <c r="L110" s="26" t="s">
        <v>37</v>
      </c>
      <c r="M110" s="26" t="s">
        <v>37</v>
      </c>
      <c r="N110" s="26" t="s">
        <v>37</v>
      </c>
      <c r="O110" s="26" t="s">
        <v>37</v>
      </c>
      <c r="P110" s="26" t="s">
        <v>37</v>
      </c>
      <c r="R110" s="47">
        <v>45861.375011574077</v>
      </c>
      <c r="S110" s="64" t="s">
        <v>447</v>
      </c>
      <c r="AA110" s="30" t="s">
        <v>37</v>
      </c>
      <c r="AB110" s="30" t="s">
        <v>37</v>
      </c>
      <c r="AC110" s="43">
        <v>0</v>
      </c>
      <c r="AD110" s="43">
        <v>0</v>
      </c>
      <c r="AE110" s="43">
        <v>0</v>
      </c>
      <c r="AF110" s="26" t="s">
        <v>37</v>
      </c>
      <c r="AG110" s="26" t="s">
        <v>37</v>
      </c>
      <c r="AH110" s="26" t="s">
        <v>37</v>
      </c>
      <c r="AI110" s="26" t="s">
        <v>37</v>
      </c>
      <c r="AJ110" s="26" t="s">
        <v>37</v>
      </c>
      <c r="AK110" s="26" t="s">
        <v>37</v>
      </c>
      <c r="AL110" s="26" t="s">
        <v>37</v>
      </c>
      <c r="AM110" s="26" t="s">
        <v>37</v>
      </c>
      <c r="AN110" s="26" t="s">
        <v>37</v>
      </c>
      <c r="AO110" s="26" t="s">
        <v>37</v>
      </c>
      <c r="AP110" s="26" t="s">
        <v>37</v>
      </c>
      <c r="AQ110" s="26" t="s">
        <v>37</v>
      </c>
      <c r="AR110" s="26" t="s">
        <v>37</v>
      </c>
      <c r="AS110" s="26" t="s">
        <v>37</v>
      </c>
      <c r="AT110" s="26" t="s">
        <v>37</v>
      </c>
      <c r="AU110" s="26" t="s">
        <v>37</v>
      </c>
      <c r="AV110" s="26" t="s">
        <v>37</v>
      </c>
      <c r="AW110" s="26" t="s">
        <v>37</v>
      </c>
      <c r="AX110" s="26" t="s">
        <v>37</v>
      </c>
      <c r="AY110" s="26" t="s">
        <v>37</v>
      </c>
      <c r="AZ110">
        <v>6128</v>
      </c>
    </row>
    <row r="111" spans="1:52" ht="16" customHeight="1" x14ac:dyDescent="0.15">
      <c r="A111" s="17" t="s">
        <v>508</v>
      </c>
      <c r="B111" s="32">
        <v>47.622869999999999</v>
      </c>
      <c r="C111" s="33" t="s">
        <v>145</v>
      </c>
      <c r="D111" s="17" t="s">
        <v>37</v>
      </c>
      <c r="E111" s="26" t="s">
        <v>252</v>
      </c>
      <c r="F111" s="17" t="s">
        <v>77</v>
      </c>
      <c r="G111" s="17" t="s">
        <v>146</v>
      </c>
      <c r="H111" s="17" t="s">
        <v>143</v>
      </c>
      <c r="I111" s="26" t="s">
        <v>37</v>
      </c>
      <c r="J111" s="46">
        <v>22224403</v>
      </c>
      <c r="K111" s="26" t="s">
        <v>418</v>
      </c>
      <c r="L111" s="17"/>
      <c r="M111" s="17">
        <v>209.3</v>
      </c>
      <c r="N111" s="26" t="s">
        <v>37</v>
      </c>
      <c r="O111" s="26" t="s">
        <v>37</v>
      </c>
      <c r="P111" s="26" t="s">
        <v>37</v>
      </c>
      <c r="Q111" s="17"/>
      <c r="R111" s="48" t="s">
        <v>144</v>
      </c>
      <c r="S111" s="34">
        <v>45974.5</v>
      </c>
      <c r="T111" s="40"/>
      <c r="U111" s="40"/>
      <c r="V111" s="40"/>
      <c r="W111" s="40"/>
      <c r="X111" s="40"/>
      <c r="Y111" s="40"/>
      <c r="Z111" s="40"/>
      <c r="AA111" s="30">
        <v>89.833333333333329</v>
      </c>
      <c r="AB111" s="30">
        <v>89.833333333333329</v>
      </c>
      <c r="AC111" s="43">
        <v>0</v>
      </c>
      <c r="AD111" s="43">
        <v>0</v>
      </c>
      <c r="AE111" s="43">
        <v>0</v>
      </c>
      <c r="AF111" s="17">
        <v>115.5</v>
      </c>
      <c r="AG111" s="17">
        <f t="shared" ref="AG111:AG117" si="25">AF111*-1</f>
        <v>-115.5</v>
      </c>
      <c r="AH111" s="29">
        <v>45859</v>
      </c>
      <c r="AI111" s="31">
        <v>0.54515046296296299</v>
      </c>
      <c r="AJ111" s="17" t="s">
        <v>45</v>
      </c>
      <c r="AK111" s="17">
        <v>112.5</v>
      </c>
      <c r="AL111" s="17">
        <f t="shared" ref="AL111:AL142" si="26">AK111*-1</f>
        <v>-112.5</v>
      </c>
      <c r="AM111" s="38">
        <v>45974</v>
      </c>
      <c r="AN111" s="39">
        <v>0.50416666666666665</v>
      </c>
      <c r="AO111" s="17" t="s">
        <v>69</v>
      </c>
      <c r="AP111" s="17"/>
      <c r="AQ111" s="17">
        <f t="shared" ref="AQ111:AQ117" si="27">AP111*-1</f>
        <v>0</v>
      </c>
      <c r="AR111" s="17"/>
      <c r="AS111" s="17"/>
      <c r="AT111" s="17"/>
      <c r="AU111" s="17"/>
      <c r="AV111" s="17">
        <f t="shared" ref="AV111:AV142" si="28">AU111*-1</f>
        <v>0</v>
      </c>
      <c r="AW111" s="17"/>
      <c r="AX111" s="17"/>
      <c r="AY111" s="17"/>
      <c r="AZ111" s="26">
        <v>6915</v>
      </c>
    </row>
    <row r="112" spans="1:52" ht="16" customHeight="1" x14ac:dyDescent="0.2">
      <c r="A112" s="17" t="s">
        <v>64</v>
      </c>
      <c r="B112" s="32">
        <v>47.170319999999997</v>
      </c>
      <c r="C112" s="33" t="s">
        <v>65</v>
      </c>
      <c r="D112" s="17" t="s">
        <v>37</v>
      </c>
      <c r="E112" s="26" t="s">
        <v>252</v>
      </c>
      <c r="F112" s="17" t="s">
        <v>54</v>
      </c>
      <c r="G112" s="17" t="s">
        <v>66</v>
      </c>
      <c r="H112" s="17" t="s">
        <v>52</v>
      </c>
      <c r="I112" s="26" t="s">
        <v>37</v>
      </c>
      <c r="J112" s="46">
        <v>22224407</v>
      </c>
      <c r="K112" s="26" t="s">
        <v>418</v>
      </c>
      <c r="L112" s="17"/>
      <c r="M112" s="17">
        <v>105.5</v>
      </c>
      <c r="N112" s="26" t="s">
        <v>37</v>
      </c>
      <c r="O112" s="26" t="s">
        <v>37</v>
      </c>
      <c r="P112" s="26" t="s">
        <v>37</v>
      </c>
      <c r="Q112" s="17" t="s">
        <v>67</v>
      </c>
      <c r="R112" s="48" t="s">
        <v>68</v>
      </c>
      <c r="S112" s="48">
        <v>45855.416678240741</v>
      </c>
      <c r="T112" s="35"/>
      <c r="U112" s="35"/>
      <c r="V112" s="35"/>
      <c r="W112" s="35"/>
      <c r="X112" s="35"/>
      <c r="Y112" s="35"/>
      <c r="Z112" s="35"/>
      <c r="AA112" s="36">
        <v>33.700000000000003</v>
      </c>
      <c r="AB112" s="36">
        <v>33.700000000000003</v>
      </c>
      <c r="AC112" s="44">
        <v>0</v>
      </c>
      <c r="AD112" s="44">
        <v>0</v>
      </c>
      <c r="AE112" s="44">
        <v>0</v>
      </c>
      <c r="AF112" s="17">
        <v>81</v>
      </c>
      <c r="AG112" s="17">
        <f t="shared" si="25"/>
        <v>-81</v>
      </c>
      <c r="AH112" s="38">
        <v>45855</v>
      </c>
      <c r="AI112" s="39">
        <v>0.41667824074074072</v>
      </c>
      <c r="AJ112" s="17" t="s">
        <v>69</v>
      </c>
      <c r="AK112" s="17"/>
      <c r="AL112" s="17">
        <f t="shared" si="26"/>
        <v>0</v>
      </c>
      <c r="AM112" s="17"/>
      <c r="AN112" s="17"/>
      <c r="AO112" s="17"/>
      <c r="AP112" s="17"/>
      <c r="AQ112" s="17">
        <f t="shared" si="27"/>
        <v>0</v>
      </c>
      <c r="AR112" s="17"/>
      <c r="AS112" s="17"/>
      <c r="AT112" s="17"/>
      <c r="AU112" s="17"/>
      <c r="AV112" s="17">
        <f t="shared" si="28"/>
        <v>0</v>
      </c>
      <c r="AW112" s="17"/>
      <c r="AX112" s="17"/>
      <c r="AY112" s="17"/>
      <c r="AZ112">
        <v>6128</v>
      </c>
    </row>
    <row r="113" spans="1:52" ht="16" customHeight="1" x14ac:dyDescent="0.2">
      <c r="A113" s="26" t="s">
        <v>503</v>
      </c>
      <c r="B113" s="28">
        <v>47.79721</v>
      </c>
      <c r="C113" s="28">
        <v>-69.507859999999994</v>
      </c>
      <c r="D113" s="17" t="s">
        <v>37</v>
      </c>
      <c r="E113" s="26" t="s">
        <v>252</v>
      </c>
      <c r="F113" s="26" t="s">
        <v>131</v>
      </c>
      <c r="G113" s="17" t="s">
        <v>391</v>
      </c>
      <c r="H113" s="17" t="s">
        <v>437</v>
      </c>
      <c r="I113" s="26" t="s">
        <v>37</v>
      </c>
      <c r="J113" s="45">
        <v>22224407</v>
      </c>
      <c r="K113" s="26" t="s">
        <v>418</v>
      </c>
      <c r="M113" s="26">
        <v>119</v>
      </c>
      <c r="N113" s="26" t="s">
        <v>37</v>
      </c>
      <c r="O113" s="26" t="s">
        <v>37</v>
      </c>
      <c r="P113" s="26" t="s">
        <v>37</v>
      </c>
      <c r="Q113" s="26" t="s">
        <v>440</v>
      </c>
      <c r="R113" s="47">
        <v>45919.541666666664</v>
      </c>
      <c r="S113" s="47">
        <v>45973.416678240741</v>
      </c>
      <c r="AA113" s="26">
        <v>86.25</v>
      </c>
      <c r="AB113" s="26">
        <v>86.25</v>
      </c>
      <c r="AC113" s="43">
        <v>86</v>
      </c>
      <c r="AD113" s="43">
        <v>86.5</v>
      </c>
      <c r="AE113" s="43">
        <v>0</v>
      </c>
      <c r="AF113" s="26">
        <v>120</v>
      </c>
      <c r="AG113" s="8">
        <f t="shared" si="25"/>
        <v>-120</v>
      </c>
      <c r="AH113" s="29">
        <v>45937</v>
      </c>
      <c r="AI113" s="31">
        <v>0.49583333333333335</v>
      </c>
      <c r="AJ113" s="26" t="s">
        <v>69</v>
      </c>
      <c r="AK113" s="26">
        <v>76.5</v>
      </c>
      <c r="AL113" s="17">
        <f t="shared" si="26"/>
        <v>-76.5</v>
      </c>
      <c r="AM113" s="29">
        <v>45973</v>
      </c>
      <c r="AN113" s="31">
        <v>0.4368055555555555</v>
      </c>
      <c r="AO113" s="26" t="s">
        <v>69</v>
      </c>
      <c r="AQ113" s="17">
        <f t="shared" si="27"/>
        <v>0</v>
      </c>
      <c r="AV113" s="17">
        <f t="shared" si="28"/>
        <v>0</v>
      </c>
      <c r="AZ113" s="26">
        <v>8539</v>
      </c>
    </row>
    <row r="114" spans="1:52" ht="16" customHeight="1" x14ac:dyDescent="0.15">
      <c r="A114" s="17" t="s">
        <v>512</v>
      </c>
      <c r="B114" s="32">
        <v>47.622970000000002</v>
      </c>
      <c r="C114" s="33" t="s">
        <v>141</v>
      </c>
      <c r="D114" s="17" t="s">
        <v>37</v>
      </c>
      <c r="E114" s="26" t="s">
        <v>252</v>
      </c>
      <c r="F114" s="17" t="s">
        <v>77</v>
      </c>
      <c r="G114" s="17" t="s">
        <v>142</v>
      </c>
      <c r="H114" s="17" t="s">
        <v>143</v>
      </c>
      <c r="I114" s="26" t="s">
        <v>37</v>
      </c>
      <c r="J114" s="46">
        <v>22224408</v>
      </c>
      <c r="K114" s="26" t="s">
        <v>418</v>
      </c>
      <c r="L114" s="17"/>
      <c r="M114" s="17">
        <v>88.3</v>
      </c>
      <c r="N114" s="26" t="s">
        <v>37</v>
      </c>
      <c r="O114" s="26" t="s">
        <v>37</v>
      </c>
      <c r="P114" s="26" t="s">
        <v>37</v>
      </c>
      <c r="Q114" s="17"/>
      <c r="R114" s="48">
        <v>45808.458344907405</v>
      </c>
      <c r="S114" s="34">
        <v>45974.5</v>
      </c>
      <c r="T114" s="35"/>
      <c r="U114" s="35"/>
      <c r="V114" s="35"/>
      <c r="W114" s="35"/>
      <c r="X114" s="35"/>
      <c r="Y114" s="35"/>
      <c r="Z114" s="35"/>
      <c r="AA114" s="30">
        <v>25.783333333333331</v>
      </c>
      <c r="AB114" s="30">
        <v>25.783333333333331</v>
      </c>
      <c r="AC114" s="43">
        <v>0</v>
      </c>
      <c r="AD114" s="43">
        <v>0</v>
      </c>
      <c r="AE114" s="43">
        <v>0</v>
      </c>
      <c r="AF114" s="17">
        <v>85.5</v>
      </c>
      <c r="AG114" s="17">
        <f t="shared" si="25"/>
        <v>-85.5</v>
      </c>
      <c r="AH114" s="29">
        <v>45859</v>
      </c>
      <c r="AI114" s="31">
        <v>0.54237268518518522</v>
      </c>
      <c r="AJ114" s="17" t="s">
        <v>45</v>
      </c>
      <c r="AK114" s="17">
        <v>59</v>
      </c>
      <c r="AL114" s="17">
        <f t="shared" si="26"/>
        <v>-59</v>
      </c>
      <c r="AM114" s="38">
        <v>45974</v>
      </c>
      <c r="AN114" s="39">
        <v>0.51180555555555551</v>
      </c>
      <c r="AO114" s="17" t="s">
        <v>69</v>
      </c>
      <c r="AP114" s="17"/>
      <c r="AQ114" s="17">
        <f t="shared" si="27"/>
        <v>0</v>
      </c>
      <c r="AR114" s="17"/>
      <c r="AS114" s="17"/>
      <c r="AT114" s="17"/>
      <c r="AU114" s="17"/>
      <c r="AV114" s="17">
        <f t="shared" si="28"/>
        <v>0</v>
      </c>
      <c r="AW114" s="17"/>
      <c r="AX114" s="17"/>
      <c r="AY114" s="17"/>
      <c r="AZ114" s="26">
        <v>6915</v>
      </c>
    </row>
    <row r="115" spans="1:52" ht="16" customHeight="1" x14ac:dyDescent="0.15">
      <c r="A115" s="17" t="s">
        <v>454</v>
      </c>
      <c r="B115" s="32">
        <v>47.622500000000002</v>
      </c>
      <c r="C115" s="33" t="s">
        <v>180</v>
      </c>
      <c r="D115" s="17" t="s">
        <v>37</v>
      </c>
      <c r="E115" s="26" t="s">
        <v>252</v>
      </c>
      <c r="F115" s="17" t="s">
        <v>77</v>
      </c>
      <c r="G115" s="17" t="s">
        <v>181</v>
      </c>
      <c r="H115" s="17" t="s">
        <v>139</v>
      </c>
      <c r="I115" s="26" t="s">
        <v>37</v>
      </c>
      <c r="J115" s="46">
        <v>22224410</v>
      </c>
      <c r="K115" s="26" t="s">
        <v>418</v>
      </c>
      <c r="L115" s="17"/>
      <c r="M115" s="17">
        <v>145.5</v>
      </c>
      <c r="N115" s="26" t="s">
        <v>37</v>
      </c>
      <c r="O115" s="26" t="s">
        <v>37</v>
      </c>
      <c r="P115" s="26" t="s">
        <v>37</v>
      </c>
      <c r="Q115" s="17"/>
      <c r="R115" s="48" t="s">
        <v>182</v>
      </c>
      <c r="S115" s="48">
        <v>45974.458344907405</v>
      </c>
      <c r="T115" s="40"/>
      <c r="U115" s="40"/>
      <c r="V115" s="40"/>
      <c r="W115" s="40"/>
      <c r="X115" s="40"/>
      <c r="Y115" s="40"/>
      <c r="Z115" s="40"/>
      <c r="AA115" s="36">
        <v>37</v>
      </c>
      <c r="AB115" s="30">
        <v>37</v>
      </c>
      <c r="AC115" s="43">
        <v>0</v>
      </c>
      <c r="AD115" s="43">
        <v>0</v>
      </c>
      <c r="AE115" s="43">
        <v>0</v>
      </c>
      <c r="AF115" s="17">
        <v>64.2</v>
      </c>
      <c r="AG115" s="17">
        <f t="shared" si="25"/>
        <v>-64.2</v>
      </c>
      <c r="AH115" s="29">
        <v>45806</v>
      </c>
      <c r="AI115" s="31">
        <v>0.37501157407407404</v>
      </c>
      <c r="AJ115" s="26" t="s">
        <v>45</v>
      </c>
      <c r="AK115" s="17">
        <v>112.2</v>
      </c>
      <c r="AL115" s="17">
        <f t="shared" si="26"/>
        <v>-112.2</v>
      </c>
      <c r="AM115" s="38">
        <v>45859</v>
      </c>
      <c r="AN115" s="39">
        <v>0.49653935185185188</v>
      </c>
      <c r="AO115" s="17" t="s">
        <v>45</v>
      </c>
      <c r="AP115" s="17">
        <v>107.5</v>
      </c>
      <c r="AQ115" s="17">
        <f t="shared" si="27"/>
        <v>-107.5</v>
      </c>
      <c r="AR115" s="38">
        <v>45974</v>
      </c>
      <c r="AS115" s="39">
        <v>0.47152777777777777</v>
      </c>
      <c r="AT115" s="17" t="s">
        <v>69</v>
      </c>
      <c r="AU115" s="17"/>
      <c r="AV115" s="17">
        <f t="shared" si="28"/>
        <v>0</v>
      </c>
      <c r="AW115" s="17"/>
      <c r="AX115" s="17"/>
      <c r="AY115" s="17"/>
      <c r="AZ115" s="26">
        <v>6915</v>
      </c>
    </row>
    <row r="116" spans="1:52" s="17" customFormat="1" ht="16" customHeight="1" x14ac:dyDescent="0.15">
      <c r="A116" s="17" t="s">
        <v>513</v>
      </c>
      <c r="B116" s="32">
        <v>47.623179999999998</v>
      </c>
      <c r="C116" s="33" t="s">
        <v>201</v>
      </c>
      <c r="D116" s="17" t="s">
        <v>37</v>
      </c>
      <c r="E116" s="26" t="s">
        <v>252</v>
      </c>
      <c r="F116" s="17" t="s">
        <v>77</v>
      </c>
      <c r="G116" s="17" t="s">
        <v>202</v>
      </c>
      <c r="H116" s="17" t="s">
        <v>93</v>
      </c>
      <c r="I116" s="26" t="s">
        <v>37</v>
      </c>
      <c r="J116" s="46">
        <v>22224411</v>
      </c>
      <c r="K116" s="26" t="s">
        <v>418</v>
      </c>
      <c r="M116" s="17">
        <v>136.9</v>
      </c>
      <c r="N116" s="26" t="s">
        <v>37</v>
      </c>
      <c r="O116" s="26" t="s">
        <v>37</v>
      </c>
      <c r="P116" s="26" t="s">
        <v>37</v>
      </c>
      <c r="R116" s="48" t="s">
        <v>95</v>
      </c>
      <c r="S116" s="34">
        <v>45974.458333333336</v>
      </c>
      <c r="T116" s="40"/>
      <c r="U116" s="40"/>
      <c r="V116" s="40"/>
      <c r="W116" s="40"/>
      <c r="X116" s="40"/>
      <c r="Y116" s="40"/>
      <c r="Z116" s="40"/>
      <c r="AA116" s="36">
        <v>39.116666666666667</v>
      </c>
      <c r="AB116" s="30">
        <v>39.116666666666667</v>
      </c>
      <c r="AC116" s="43">
        <v>0</v>
      </c>
      <c r="AD116" s="43">
        <v>0</v>
      </c>
      <c r="AE116" s="43">
        <v>0</v>
      </c>
      <c r="AF116" s="17">
        <v>71.5</v>
      </c>
      <c r="AG116" s="17">
        <f t="shared" si="25"/>
        <v>-71.5</v>
      </c>
      <c r="AH116" s="29">
        <v>45859</v>
      </c>
      <c r="AI116" s="31">
        <v>0.62570601851851848</v>
      </c>
      <c r="AJ116" s="17" t="s">
        <v>45</v>
      </c>
      <c r="AK116" s="17">
        <v>83</v>
      </c>
      <c r="AL116" s="17">
        <f t="shared" si="26"/>
        <v>-83</v>
      </c>
      <c r="AM116" s="38">
        <v>45974</v>
      </c>
      <c r="AN116" s="39">
        <v>0.48194444444444445</v>
      </c>
      <c r="AO116" s="17" t="s">
        <v>69</v>
      </c>
      <c r="AQ116" s="17">
        <f t="shared" si="27"/>
        <v>0</v>
      </c>
      <c r="AV116" s="17">
        <f t="shared" si="28"/>
        <v>0</v>
      </c>
      <c r="AZ116" s="26">
        <v>6915</v>
      </c>
    </row>
    <row r="117" spans="1:52" ht="16" customHeight="1" x14ac:dyDescent="0.15">
      <c r="A117" s="17" t="s">
        <v>84</v>
      </c>
      <c r="B117" s="32">
        <v>47.623089999999998</v>
      </c>
      <c r="C117" s="33" t="s">
        <v>85</v>
      </c>
      <c r="D117" s="17" t="s">
        <v>37</v>
      </c>
      <c r="E117" s="26" t="s">
        <v>252</v>
      </c>
      <c r="F117" s="17" t="s">
        <v>77</v>
      </c>
      <c r="G117" s="17" t="s">
        <v>86</v>
      </c>
      <c r="H117" s="17" t="s">
        <v>87</v>
      </c>
      <c r="I117" s="26" t="s">
        <v>37</v>
      </c>
      <c r="J117" s="46">
        <v>22224413</v>
      </c>
      <c r="K117" s="26" t="s">
        <v>418</v>
      </c>
      <c r="L117" s="17"/>
      <c r="M117" s="17">
        <v>99.7</v>
      </c>
      <c r="N117" s="26" t="s">
        <v>37</v>
      </c>
      <c r="O117" s="26" t="s">
        <v>37</v>
      </c>
      <c r="P117" s="26" t="s">
        <v>37</v>
      </c>
      <c r="Q117" s="17" t="s">
        <v>88</v>
      </c>
      <c r="R117" s="48" t="s">
        <v>89</v>
      </c>
      <c r="S117" s="48">
        <v>45859.541678240741</v>
      </c>
      <c r="T117" s="35"/>
      <c r="U117" s="35"/>
      <c r="V117" s="35"/>
      <c r="W117" s="35"/>
      <c r="X117" s="35"/>
      <c r="Y117" s="35"/>
      <c r="Z117" s="35"/>
      <c r="AA117" s="36">
        <v>27.2</v>
      </c>
      <c r="AB117" s="36">
        <v>27.2</v>
      </c>
      <c r="AC117" s="44">
        <v>0</v>
      </c>
      <c r="AD117" s="44">
        <v>0</v>
      </c>
      <c r="AE117" s="44">
        <v>0</v>
      </c>
      <c r="AF117" s="17">
        <v>95.5</v>
      </c>
      <c r="AG117" s="17">
        <f t="shared" si="25"/>
        <v>-95.5</v>
      </c>
      <c r="AH117" s="38">
        <v>45859</v>
      </c>
      <c r="AI117" s="39">
        <v>0.56112268518518515</v>
      </c>
      <c r="AJ117" s="17"/>
      <c r="AK117" s="17"/>
      <c r="AL117" s="17">
        <f t="shared" si="26"/>
        <v>0</v>
      </c>
      <c r="AM117" s="17"/>
      <c r="AN117" s="17"/>
      <c r="AO117" s="17"/>
      <c r="AP117" s="17"/>
      <c r="AQ117" s="17">
        <f t="shared" si="27"/>
        <v>0</v>
      </c>
      <c r="AR117" s="17"/>
      <c r="AS117" s="17"/>
      <c r="AT117" s="17"/>
      <c r="AU117" s="17"/>
      <c r="AV117" s="17">
        <f t="shared" si="28"/>
        <v>0</v>
      </c>
      <c r="AW117" s="17"/>
      <c r="AX117" s="17"/>
      <c r="AY117" s="17"/>
      <c r="AZ117" s="26">
        <v>6915</v>
      </c>
    </row>
    <row r="118" spans="1:52" ht="16" x14ac:dyDescent="0.2">
      <c r="A118" s="26" t="s">
        <v>505</v>
      </c>
      <c r="B118" s="28">
        <v>47.797919999999998</v>
      </c>
      <c r="C118" s="28">
        <v>-69.507750000000001</v>
      </c>
      <c r="D118" s="17" t="s">
        <v>37</v>
      </c>
      <c r="E118" s="26" t="s">
        <v>252</v>
      </c>
      <c r="F118" s="17" t="s">
        <v>131</v>
      </c>
      <c r="G118" t="s">
        <v>422</v>
      </c>
      <c r="H118" s="17" t="s">
        <v>434</v>
      </c>
      <c r="I118" s="26" t="s">
        <v>37</v>
      </c>
      <c r="J118" s="45">
        <v>22224413</v>
      </c>
      <c r="K118" s="26" t="s">
        <v>418</v>
      </c>
      <c r="M118" s="26">
        <v>119.7</v>
      </c>
      <c r="N118" s="26" t="s">
        <v>37</v>
      </c>
      <c r="O118" s="26" t="s">
        <v>37</v>
      </c>
      <c r="P118" s="26" t="s">
        <v>37</v>
      </c>
      <c r="Q118" s="26" t="s">
        <v>427</v>
      </c>
      <c r="R118" s="47">
        <v>45868.416678240741</v>
      </c>
      <c r="S118" s="47">
        <v>45973.416678240741</v>
      </c>
      <c r="T118" s="35"/>
      <c r="U118" s="35"/>
      <c r="V118" s="35"/>
      <c r="W118" s="35"/>
      <c r="X118" s="35"/>
      <c r="Y118" s="35"/>
      <c r="Z118" s="35"/>
      <c r="AA118" s="30">
        <v>68.066666666666663</v>
      </c>
      <c r="AB118" s="30">
        <v>68.066666666666663</v>
      </c>
      <c r="AC118" s="43">
        <v>0</v>
      </c>
      <c r="AD118" s="43">
        <v>0</v>
      </c>
      <c r="AE118" s="43">
        <v>0</v>
      </c>
      <c r="AF118" s="26" t="s">
        <v>441</v>
      </c>
      <c r="AG118" s="8" t="s">
        <v>37</v>
      </c>
      <c r="AH118" s="29">
        <v>45917</v>
      </c>
      <c r="AI118" s="31">
        <v>0.59375</v>
      </c>
      <c r="AJ118" s="26" t="s">
        <v>45</v>
      </c>
      <c r="AK118" s="26" t="s">
        <v>441</v>
      </c>
      <c r="AL118" s="17" t="e" vm="1">
        <f t="shared" si="26"/>
        <v>#VALUE!</v>
      </c>
      <c r="AM118" s="29">
        <v>45937</v>
      </c>
      <c r="AN118" s="31">
        <v>0.55277777777777781</v>
      </c>
      <c r="AO118" s="26" t="s">
        <v>69</v>
      </c>
      <c r="AP118" s="17">
        <v>87.5</v>
      </c>
      <c r="AQ118" s="17"/>
      <c r="AR118" s="29">
        <v>45973</v>
      </c>
      <c r="AS118" s="31">
        <v>0.42777777777777781</v>
      </c>
      <c r="AT118" s="26" t="s">
        <v>69</v>
      </c>
      <c r="AV118" s="17">
        <f t="shared" si="28"/>
        <v>0</v>
      </c>
      <c r="AZ118" s="26">
        <v>10808</v>
      </c>
    </row>
    <row r="119" spans="1:52" ht="16" customHeight="1" x14ac:dyDescent="0.2">
      <c r="A119" s="8" t="s">
        <v>469</v>
      </c>
      <c r="B119" s="8">
        <v>46.705759999999998</v>
      </c>
      <c r="C119" s="8">
        <v>-71.063839999999999</v>
      </c>
      <c r="D119" s="8" t="s">
        <v>256</v>
      </c>
      <c r="E119" s="17" t="s">
        <v>252</v>
      </c>
      <c r="F119" s="8" t="s">
        <v>253</v>
      </c>
      <c r="G119" s="8" t="s">
        <v>414</v>
      </c>
      <c r="H119" s="8" t="s">
        <v>260</v>
      </c>
      <c r="I119" s="8" t="s">
        <v>470</v>
      </c>
      <c r="J119" s="56">
        <v>41360</v>
      </c>
      <c r="K119" s="8" t="s">
        <v>255</v>
      </c>
      <c r="L119" s="8">
        <v>80</v>
      </c>
      <c r="M119" s="8">
        <v>80</v>
      </c>
      <c r="N119" s="8">
        <v>1</v>
      </c>
      <c r="O119" s="8">
        <v>-800</v>
      </c>
      <c r="P119" s="8">
        <v>1541</v>
      </c>
      <c r="Q119" s="8"/>
      <c r="R119" s="57">
        <v>45780.708333333336</v>
      </c>
      <c r="S119" s="57">
        <v>45988.541678240741</v>
      </c>
      <c r="T119" s="8"/>
      <c r="U119" s="8"/>
      <c r="V119" s="8"/>
      <c r="W119" s="8"/>
      <c r="X119" s="8"/>
      <c r="Y119" s="8"/>
      <c r="Z119" s="8"/>
      <c r="AA119" s="58">
        <v>16.233333333333334</v>
      </c>
      <c r="AB119" s="58">
        <v>16.233333333333334</v>
      </c>
      <c r="AC119" s="42">
        <v>0</v>
      </c>
      <c r="AD119" s="42">
        <v>0</v>
      </c>
      <c r="AE119" s="42">
        <v>0</v>
      </c>
      <c r="AF119" s="62">
        <v>46</v>
      </c>
      <c r="AG119" s="62">
        <f>AF119*-1</f>
        <v>-46</v>
      </c>
      <c r="AH119" s="59">
        <v>45868</v>
      </c>
      <c r="AI119" s="60">
        <v>0.59723379629629625</v>
      </c>
      <c r="AJ119" s="8" t="s">
        <v>63</v>
      </c>
      <c r="AK119" s="8">
        <v>91</v>
      </c>
      <c r="AL119" s="8">
        <f t="shared" si="26"/>
        <v>-91</v>
      </c>
      <c r="AM119" s="29">
        <v>45918</v>
      </c>
      <c r="AN119" s="60">
        <v>0.65277777777777779</v>
      </c>
      <c r="AO119" s="8" t="s">
        <v>69</v>
      </c>
      <c r="AP119" s="8">
        <v>41.5</v>
      </c>
      <c r="AQ119" s="8">
        <f t="shared" ref="AQ119:AQ150" si="29">AP119*-1</f>
        <v>-41.5</v>
      </c>
      <c r="AR119" s="59">
        <v>45988</v>
      </c>
      <c r="AS119" s="60">
        <v>0.57847222222222228</v>
      </c>
      <c r="AT119" s="8" t="s">
        <v>69</v>
      </c>
      <c r="AU119" s="8"/>
      <c r="AV119" s="8">
        <f t="shared" si="28"/>
        <v>0</v>
      </c>
      <c r="AW119" s="8"/>
      <c r="AX119" s="8"/>
      <c r="AY119" s="8"/>
      <c r="AZ119" s="8" t="s">
        <v>37</v>
      </c>
    </row>
    <row r="120" spans="1:52" ht="16" customHeight="1" x14ac:dyDescent="0.2">
      <c r="A120" s="8" t="s">
        <v>469</v>
      </c>
      <c r="B120" s="8">
        <v>46.705759999999998</v>
      </c>
      <c r="C120" s="8">
        <v>-71.063839999999999</v>
      </c>
      <c r="D120" s="8" t="s">
        <v>256</v>
      </c>
      <c r="E120" s="17" t="s">
        <v>252</v>
      </c>
      <c r="F120" s="8" t="s">
        <v>253</v>
      </c>
      <c r="G120" s="8" t="s">
        <v>414</v>
      </c>
      <c r="H120" s="8" t="s">
        <v>260</v>
      </c>
      <c r="I120" s="8" t="s">
        <v>470</v>
      </c>
      <c r="J120" s="56">
        <v>41360</v>
      </c>
      <c r="K120" s="8" t="s">
        <v>255</v>
      </c>
      <c r="L120" s="8">
        <v>20</v>
      </c>
      <c r="M120" s="8">
        <v>80</v>
      </c>
      <c r="N120" s="8">
        <v>2</v>
      </c>
      <c r="O120" s="8">
        <v>-200</v>
      </c>
      <c r="P120" s="8">
        <v>2461</v>
      </c>
      <c r="Q120" s="8"/>
      <c r="R120" s="57">
        <v>45780.708333333336</v>
      </c>
      <c r="S120" s="57">
        <v>45988.541678240741</v>
      </c>
      <c r="T120" s="8"/>
      <c r="U120" s="8"/>
      <c r="V120" s="8"/>
      <c r="W120" s="8"/>
      <c r="X120" s="8"/>
      <c r="Y120" s="8"/>
      <c r="Z120" s="8"/>
      <c r="AA120" s="58">
        <v>16.233333333333334</v>
      </c>
      <c r="AB120" s="58">
        <v>16.233333333333334</v>
      </c>
      <c r="AC120" s="42">
        <v>0</v>
      </c>
      <c r="AD120" s="42">
        <v>0</v>
      </c>
      <c r="AE120" s="42">
        <v>0</v>
      </c>
      <c r="AF120" s="62">
        <v>60</v>
      </c>
      <c r="AG120" s="62">
        <f>AF120*-1</f>
        <v>-60</v>
      </c>
      <c r="AH120" s="59">
        <v>45868</v>
      </c>
      <c r="AI120" s="60">
        <v>0.59723379629629625</v>
      </c>
      <c r="AJ120" s="8" t="s">
        <v>63</v>
      </c>
      <c r="AK120" s="8">
        <v>91</v>
      </c>
      <c r="AL120" s="8">
        <f t="shared" si="26"/>
        <v>-91</v>
      </c>
      <c r="AM120" s="29">
        <v>45918</v>
      </c>
      <c r="AN120" s="60">
        <v>0.65277777777777779</v>
      </c>
      <c r="AO120" s="8" t="s">
        <v>69</v>
      </c>
      <c r="AP120" s="8">
        <v>41.5</v>
      </c>
      <c r="AQ120" s="8">
        <f t="shared" si="29"/>
        <v>-41.5</v>
      </c>
      <c r="AR120" s="59">
        <v>45988</v>
      </c>
      <c r="AS120" s="60">
        <v>0.57847222222222228</v>
      </c>
      <c r="AT120" s="8" t="s">
        <v>69</v>
      </c>
      <c r="AU120" s="8"/>
      <c r="AV120" s="8">
        <f t="shared" si="28"/>
        <v>0</v>
      </c>
      <c r="AW120" s="8"/>
      <c r="AX120" s="8"/>
      <c r="AY120" s="8"/>
      <c r="AZ120" s="8" t="s">
        <v>37</v>
      </c>
    </row>
    <row r="121" spans="1:52" ht="16" customHeight="1" x14ac:dyDescent="0.2">
      <c r="A121" s="8" t="s">
        <v>469</v>
      </c>
      <c r="B121" s="8">
        <v>46.705759999999998</v>
      </c>
      <c r="C121" s="8">
        <v>-71.063839999999999</v>
      </c>
      <c r="D121" s="8" t="s">
        <v>257</v>
      </c>
      <c r="E121" s="17" t="s">
        <v>252</v>
      </c>
      <c r="F121" s="8" t="s">
        <v>253</v>
      </c>
      <c r="G121" s="8" t="s">
        <v>414</v>
      </c>
      <c r="H121" s="8" t="s">
        <v>260</v>
      </c>
      <c r="I121" s="8" t="s">
        <v>470</v>
      </c>
      <c r="J121" s="56">
        <v>41360</v>
      </c>
      <c r="K121" s="8" t="s">
        <v>255</v>
      </c>
      <c r="L121" s="8"/>
      <c r="M121" s="8">
        <v>80</v>
      </c>
      <c r="N121" s="8" t="s">
        <v>37</v>
      </c>
      <c r="O121" s="8" t="s">
        <v>37</v>
      </c>
      <c r="P121" s="8"/>
      <c r="Q121" s="8"/>
      <c r="R121" s="57">
        <v>45780.708333333336</v>
      </c>
      <c r="S121" s="57">
        <v>45988.541678240741</v>
      </c>
      <c r="T121" s="8"/>
      <c r="U121" s="8"/>
      <c r="V121" s="8"/>
      <c r="W121" s="8"/>
      <c r="X121" s="8"/>
      <c r="Y121" s="8"/>
      <c r="Z121" s="8"/>
      <c r="AA121" s="58">
        <v>16.233333333333334</v>
      </c>
      <c r="AB121" s="58">
        <v>16.233333333333334</v>
      </c>
      <c r="AC121" s="42">
        <v>0</v>
      </c>
      <c r="AD121" s="42">
        <v>0</v>
      </c>
      <c r="AE121" s="42">
        <v>0</v>
      </c>
      <c r="AF121" s="62">
        <v>60</v>
      </c>
      <c r="AG121" s="62">
        <f>AF121*-1</f>
        <v>-60</v>
      </c>
      <c r="AH121" s="59">
        <v>45868</v>
      </c>
      <c r="AI121" s="60">
        <v>0.59723379629629625</v>
      </c>
      <c r="AJ121" s="8" t="s">
        <v>63</v>
      </c>
      <c r="AK121" s="8">
        <v>91</v>
      </c>
      <c r="AL121" s="8">
        <f t="shared" si="26"/>
        <v>-91</v>
      </c>
      <c r="AM121" s="29">
        <v>45918</v>
      </c>
      <c r="AN121" s="60">
        <v>0.65277777777777779</v>
      </c>
      <c r="AO121" s="8" t="s">
        <v>69</v>
      </c>
      <c r="AP121" s="8">
        <v>41.5</v>
      </c>
      <c r="AQ121" s="8">
        <f t="shared" si="29"/>
        <v>-41.5</v>
      </c>
      <c r="AR121" s="59">
        <v>45988</v>
      </c>
      <c r="AS121" s="60">
        <v>0.57847222222222228</v>
      </c>
      <c r="AT121" s="8" t="s">
        <v>69</v>
      </c>
      <c r="AU121" s="8"/>
      <c r="AV121" s="8">
        <f t="shared" si="28"/>
        <v>0</v>
      </c>
      <c r="AW121" s="8"/>
      <c r="AX121" s="8"/>
      <c r="AY121" s="8"/>
      <c r="AZ121" s="8" t="s">
        <v>37</v>
      </c>
    </row>
    <row r="122" spans="1:52" ht="16" customHeight="1" x14ac:dyDescent="0.15">
      <c r="A122" s="26" t="s">
        <v>261</v>
      </c>
      <c r="B122" s="28"/>
      <c r="C122" s="28"/>
      <c r="D122" s="26" t="s">
        <v>256</v>
      </c>
      <c r="E122" s="26" t="s">
        <v>252</v>
      </c>
      <c r="F122" s="26" t="s">
        <v>253</v>
      </c>
      <c r="G122" s="17" t="s">
        <v>262</v>
      </c>
      <c r="H122" s="26" t="s">
        <v>260</v>
      </c>
      <c r="I122" s="26" t="s">
        <v>37</v>
      </c>
      <c r="J122" s="45">
        <v>41359</v>
      </c>
      <c r="K122" s="26" t="s">
        <v>255</v>
      </c>
      <c r="L122" s="26">
        <v>20</v>
      </c>
      <c r="M122" s="26">
        <v>80</v>
      </c>
      <c r="N122" s="26">
        <v>1</v>
      </c>
      <c r="O122" s="26" t="s">
        <v>37</v>
      </c>
      <c r="P122" s="26">
        <v>1748</v>
      </c>
      <c r="R122" s="47">
        <v>45456.625</v>
      </c>
      <c r="S122" s="47">
        <v>45610.458333333336</v>
      </c>
      <c r="AA122" s="26">
        <v>30.533000000000001</v>
      </c>
      <c r="AB122" s="26">
        <v>-109.6</v>
      </c>
      <c r="AC122" s="43">
        <v>-138.6</v>
      </c>
      <c r="AD122" s="43">
        <v>-142.4</v>
      </c>
      <c r="AE122" s="43">
        <v>-139.4</v>
      </c>
      <c r="AF122" s="26">
        <v>25.5</v>
      </c>
      <c r="AG122" s="26">
        <v>-25.5</v>
      </c>
      <c r="AH122" s="29">
        <v>45610</v>
      </c>
      <c r="AI122" s="31">
        <v>0.41667824074074072</v>
      </c>
      <c r="AJ122" s="26"/>
      <c r="AL122" s="17">
        <f t="shared" si="26"/>
        <v>0</v>
      </c>
      <c r="AQ122" s="17">
        <f t="shared" si="29"/>
        <v>0</v>
      </c>
      <c r="AV122" s="17">
        <f t="shared" si="28"/>
        <v>0</v>
      </c>
      <c r="AZ122" s="26" t="s">
        <v>37</v>
      </c>
    </row>
    <row r="123" spans="1:52" ht="16" customHeight="1" x14ac:dyDescent="0.15">
      <c r="A123" s="26" t="s">
        <v>261</v>
      </c>
      <c r="B123" s="28"/>
      <c r="C123" s="28"/>
      <c r="D123" s="26" t="s">
        <v>256</v>
      </c>
      <c r="E123" s="26" t="s">
        <v>252</v>
      </c>
      <c r="F123" s="26" t="s">
        <v>253</v>
      </c>
      <c r="G123" s="17" t="s">
        <v>262</v>
      </c>
      <c r="H123" s="26" t="s">
        <v>260</v>
      </c>
      <c r="I123" s="26" t="s">
        <v>37</v>
      </c>
      <c r="J123" s="45">
        <v>41359</v>
      </c>
      <c r="K123" s="26" t="s">
        <v>255</v>
      </c>
      <c r="L123" s="26">
        <v>80</v>
      </c>
      <c r="M123" s="26">
        <v>80</v>
      </c>
      <c r="N123" s="26">
        <v>2</v>
      </c>
      <c r="O123" s="26" t="s">
        <v>37</v>
      </c>
      <c r="P123" s="26">
        <v>3000</v>
      </c>
      <c r="R123" s="47">
        <v>45456.625</v>
      </c>
      <c r="S123" s="47">
        <v>45610.458333333336</v>
      </c>
      <c r="AA123" s="26">
        <v>30.533000000000001</v>
      </c>
      <c r="AB123" s="26">
        <v>-109.6</v>
      </c>
      <c r="AC123" s="43">
        <v>-138.6</v>
      </c>
      <c r="AD123" s="43">
        <v>-142.4</v>
      </c>
      <c r="AE123" s="43">
        <v>-139.4</v>
      </c>
      <c r="AF123" s="26">
        <v>25.5</v>
      </c>
      <c r="AG123" s="26">
        <v>-25.5</v>
      </c>
      <c r="AH123" s="29">
        <v>45610</v>
      </c>
      <c r="AI123" s="31">
        <v>0.41667824074074072</v>
      </c>
      <c r="AJ123" s="26"/>
      <c r="AL123" s="17">
        <f t="shared" si="26"/>
        <v>0</v>
      </c>
      <c r="AQ123" s="17">
        <f t="shared" si="29"/>
        <v>0</v>
      </c>
      <c r="AV123" s="17">
        <f t="shared" si="28"/>
        <v>0</v>
      </c>
      <c r="AZ123" s="26" t="s">
        <v>37</v>
      </c>
    </row>
    <row r="124" spans="1:52" ht="16" customHeight="1" x14ac:dyDescent="0.15">
      <c r="A124" s="26" t="s">
        <v>261</v>
      </c>
      <c r="B124" s="28"/>
      <c r="C124" s="28"/>
      <c r="D124" s="26" t="s">
        <v>257</v>
      </c>
      <c r="E124" s="26" t="s">
        <v>252</v>
      </c>
      <c r="F124" s="26" t="s">
        <v>253</v>
      </c>
      <c r="G124" s="17" t="s">
        <v>262</v>
      </c>
      <c r="H124" s="26" t="s">
        <v>260</v>
      </c>
      <c r="I124" s="26" t="s">
        <v>37</v>
      </c>
      <c r="J124" s="45">
        <v>41359</v>
      </c>
      <c r="K124" s="26" t="s">
        <v>255</v>
      </c>
      <c r="L124" s="26" t="s">
        <v>37</v>
      </c>
      <c r="M124" s="26">
        <v>80</v>
      </c>
      <c r="N124" s="26" t="s">
        <v>37</v>
      </c>
      <c r="O124" s="26" t="s">
        <v>37</v>
      </c>
      <c r="P124" s="26">
        <v>2851</v>
      </c>
      <c r="R124" s="47">
        <v>45456.625</v>
      </c>
      <c r="S124" s="47">
        <v>45610.458333333336</v>
      </c>
      <c r="AA124" s="26">
        <v>30.533000000000001</v>
      </c>
      <c r="AB124" s="26">
        <v>-109.6</v>
      </c>
      <c r="AC124" s="43">
        <v>-138.6</v>
      </c>
      <c r="AD124" s="43">
        <v>-142.4</v>
      </c>
      <c r="AE124" s="43">
        <v>-139.4</v>
      </c>
      <c r="AF124" s="26">
        <v>25.5</v>
      </c>
      <c r="AG124" s="26">
        <v>-25.5</v>
      </c>
      <c r="AH124" s="29">
        <v>45610</v>
      </c>
      <c r="AI124" s="31">
        <v>0.41667824074074072</v>
      </c>
      <c r="AJ124" s="26"/>
      <c r="AL124" s="17">
        <f t="shared" si="26"/>
        <v>0</v>
      </c>
      <c r="AQ124" s="17">
        <f t="shared" si="29"/>
        <v>0</v>
      </c>
      <c r="AV124" s="17">
        <f t="shared" si="28"/>
        <v>0</v>
      </c>
      <c r="AZ124" s="26" t="s">
        <v>37</v>
      </c>
    </row>
    <row r="125" spans="1:52" ht="16" customHeight="1" x14ac:dyDescent="0.15">
      <c r="A125" s="26" t="s">
        <v>263</v>
      </c>
      <c r="B125" s="28"/>
      <c r="C125" s="28"/>
      <c r="D125" s="26" t="s">
        <v>256</v>
      </c>
      <c r="E125" s="26" t="s">
        <v>252</v>
      </c>
      <c r="F125" s="26" t="s">
        <v>253</v>
      </c>
      <c r="G125" s="17" t="s">
        <v>264</v>
      </c>
      <c r="H125" s="26" t="s">
        <v>265</v>
      </c>
      <c r="I125" s="26" t="s">
        <v>37</v>
      </c>
      <c r="J125" s="45">
        <v>41361</v>
      </c>
      <c r="K125" s="26" t="s">
        <v>255</v>
      </c>
      <c r="L125" s="26">
        <v>20</v>
      </c>
      <c r="M125" s="26">
        <v>80</v>
      </c>
      <c r="N125" s="26">
        <v>1</v>
      </c>
      <c r="O125" s="26" t="s">
        <v>37</v>
      </c>
      <c r="P125" s="26">
        <v>1747</v>
      </c>
      <c r="Q125" s="68" t="s">
        <v>266</v>
      </c>
      <c r="R125" s="47" t="s">
        <v>37</v>
      </c>
      <c r="S125" s="47" t="s">
        <v>37</v>
      </c>
      <c r="AA125" s="26">
        <v>28.533000000000001</v>
      </c>
      <c r="AB125" s="26">
        <v>-3</v>
      </c>
      <c r="AC125" s="43">
        <v>-36.200000000000003</v>
      </c>
      <c r="AD125" s="43">
        <v>-27.2</v>
      </c>
      <c r="AE125" s="43">
        <v>-31.2</v>
      </c>
      <c r="AF125" s="26">
        <v>55.8</v>
      </c>
      <c r="AG125" s="26">
        <v>-55.8</v>
      </c>
      <c r="AH125" s="29">
        <v>45610</v>
      </c>
      <c r="AI125" s="31">
        <v>0.41667824074074072</v>
      </c>
      <c r="AJ125" s="26"/>
      <c r="AL125" s="17">
        <f t="shared" si="26"/>
        <v>0</v>
      </c>
      <c r="AQ125" s="17">
        <f t="shared" si="29"/>
        <v>0</v>
      </c>
      <c r="AV125" s="17">
        <f t="shared" si="28"/>
        <v>0</v>
      </c>
      <c r="AZ125" s="26" t="s">
        <v>37</v>
      </c>
    </row>
    <row r="126" spans="1:52" ht="16" customHeight="1" x14ac:dyDescent="0.15">
      <c r="A126" s="26" t="s">
        <v>263</v>
      </c>
      <c r="B126" s="28"/>
      <c r="C126" s="28"/>
      <c r="D126" s="26" t="s">
        <v>256</v>
      </c>
      <c r="E126" s="26" t="s">
        <v>252</v>
      </c>
      <c r="F126" s="26" t="s">
        <v>253</v>
      </c>
      <c r="G126" s="17" t="s">
        <v>264</v>
      </c>
      <c r="H126" s="26" t="s">
        <v>265</v>
      </c>
      <c r="I126" s="26" t="s">
        <v>37</v>
      </c>
      <c r="J126" s="45">
        <v>41361</v>
      </c>
      <c r="K126" s="26" t="s">
        <v>255</v>
      </c>
      <c r="L126" s="26">
        <v>80</v>
      </c>
      <c r="M126" s="26">
        <v>80</v>
      </c>
      <c r="N126" s="26">
        <v>2</v>
      </c>
      <c r="O126" s="26" t="s">
        <v>37</v>
      </c>
      <c r="P126" s="26">
        <v>2991</v>
      </c>
      <c r="Q126" s="68" t="s">
        <v>266</v>
      </c>
      <c r="R126" s="47" t="s">
        <v>37</v>
      </c>
      <c r="S126" s="47" t="s">
        <v>37</v>
      </c>
      <c r="AA126" s="26">
        <v>28.533000000000001</v>
      </c>
      <c r="AB126" s="26">
        <v>-3</v>
      </c>
      <c r="AC126" s="43">
        <v>-36.200000000000003</v>
      </c>
      <c r="AD126" s="43">
        <v>-27.2</v>
      </c>
      <c r="AE126" s="43">
        <v>-31.2</v>
      </c>
      <c r="AF126" s="26">
        <v>55.8</v>
      </c>
      <c r="AG126" s="26">
        <v>-55.8</v>
      </c>
      <c r="AH126" s="29">
        <v>45610</v>
      </c>
      <c r="AI126" s="31">
        <v>0.41667824074074072</v>
      </c>
      <c r="AJ126" s="26"/>
      <c r="AL126" s="17">
        <f t="shared" si="26"/>
        <v>0</v>
      </c>
      <c r="AQ126" s="17">
        <f t="shared" si="29"/>
        <v>0</v>
      </c>
      <c r="AV126" s="17">
        <f t="shared" si="28"/>
        <v>0</v>
      </c>
      <c r="AZ126" s="26" t="s">
        <v>37</v>
      </c>
    </row>
    <row r="127" spans="1:52" ht="16" customHeight="1" x14ac:dyDescent="0.15">
      <c r="A127" s="26" t="s">
        <v>263</v>
      </c>
      <c r="B127" s="28"/>
      <c r="C127" s="28"/>
      <c r="D127" s="26" t="s">
        <v>257</v>
      </c>
      <c r="E127" s="26" t="s">
        <v>252</v>
      </c>
      <c r="F127" s="26" t="s">
        <v>253</v>
      </c>
      <c r="G127" s="17" t="s">
        <v>264</v>
      </c>
      <c r="H127" s="26" t="s">
        <v>265</v>
      </c>
      <c r="I127" s="26" t="s">
        <v>37</v>
      </c>
      <c r="J127" s="45">
        <v>41361</v>
      </c>
      <c r="K127" s="26" t="s">
        <v>255</v>
      </c>
      <c r="L127" s="26" t="s">
        <v>37</v>
      </c>
      <c r="M127" s="26">
        <v>80</v>
      </c>
      <c r="N127" s="26" t="s">
        <v>37</v>
      </c>
      <c r="O127" s="26" t="s">
        <v>37</v>
      </c>
      <c r="P127" s="26" t="s">
        <v>37</v>
      </c>
      <c r="Q127" s="68" t="s">
        <v>266</v>
      </c>
      <c r="R127" s="47" t="s">
        <v>37</v>
      </c>
      <c r="S127" s="47" t="s">
        <v>37</v>
      </c>
      <c r="AA127" s="26">
        <v>28.533000000000001</v>
      </c>
      <c r="AB127" s="26">
        <v>-3</v>
      </c>
      <c r="AC127" s="43">
        <v>-36.200000000000003</v>
      </c>
      <c r="AD127" s="43">
        <v>-27.2</v>
      </c>
      <c r="AE127" s="43">
        <v>-31.2</v>
      </c>
      <c r="AF127" s="26">
        <v>55.8</v>
      </c>
      <c r="AG127" s="26">
        <v>-55.8</v>
      </c>
      <c r="AH127" s="29">
        <v>45610</v>
      </c>
      <c r="AI127" s="31">
        <v>0.41667824074074072</v>
      </c>
      <c r="AJ127" s="26"/>
      <c r="AL127" s="17">
        <f t="shared" si="26"/>
        <v>0</v>
      </c>
      <c r="AQ127" s="17">
        <f t="shared" si="29"/>
        <v>0</v>
      </c>
      <c r="AV127" s="17">
        <f t="shared" si="28"/>
        <v>0</v>
      </c>
      <c r="AZ127" s="26" t="s">
        <v>37</v>
      </c>
    </row>
    <row r="128" spans="1:52" ht="16" customHeight="1" x14ac:dyDescent="0.15">
      <c r="A128" s="26" t="s">
        <v>267</v>
      </c>
      <c r="B128" s="28"/>
      <c r="C128" s="28"/>
      <c r="D128" s="26" t="s">
        <v>256</v>
      </c>
      <c r="E128" s="26" t="s">
        <v>252</v>
      </c>
      <c r="F128" s="26" t="s">
        <v>253</v>
      </c>
      <c r="G128" s="17" t="s">
        <v>268</v>
      </c>
      <c r="H128" s="26" t="s">
        <v>269</v>
      </c>
      <c r="I128" s="26" t="s">
        <v>37</v>
      </c>
      <c r="J128" s="45">
        <v>41362</v>
      </c>
      <c r="K128" s="26" t="s">
        <v>255</v>
      </c>
      <c r="L128" s="26">
        <v>20</v>
      </c>
      <c r="M128" s="26">
        <v>80</v>
      </c>
      <c r="N128" s="26">
        <v>1</v>
      </c>
      <c r="O128" s="26" t="s">
        <v>37</v>
      </c>
      <c r="P128" s="26">
        <v>1647</v>
      </c>
      <c r="R128" s="47">
        <v>45456.625</v>
      </c>
      <c r="S128" s="47">
        <v>45610.458333333336</v>
      </c>
      <c r="AA128" s="26">
        <v>28.867000000000001</v>
      </c>
      <c r="AB128" s="26">
        <v>36.4</v>
      </c>
      <c r="AC128" s="43">
        <v>4.2</v>
      </c>
      <c r="AD128" s="43">
        <v>10.4</v>
      </c>
      <c r="AE128" s="43">
        <v>8</v>
      </c>
      <c r="AF128" s="26">
        <v>63.3</v>
      </c>
      <c r="AG128" s="26">
        <v>-63.3</v>
      </c>
      <c r="AH128" s="29">
        <v>45610</v>
      </c>
      <c r="AI128" s="31">
        <v>0.41667824074074072</v>
      </c>
      <c r="AJ128" s="26"/>
      <c r="AL128" s="17">
        <f t="shared" si="26"/>
        <v>0</v>
      </c>
      <c r="AQ128" s="17">
        <f t="shared" si="29"/>
        <v>0</v>
      </c>
      <c r="AV128" s="17">
        <f t="shared" si="28"/>
        <v>0</v>
      </c>
      <c r="AZ128" s="26" t="s">
        <v>37</v>
      </c>
    </row>
    <row r="129" spans="1:52" ht="16" customHeight="1" x14ac:dyDescent="0.15">
      <c r="A129" s="26" t="s">
        <v>267</v>
      </c>
      <c r="B129" s="28"/>
      <c r="C129" s="28"/>
      <c r="D129" s="26" t="s">
        <v>256</v>
      </c>
      <c r="E129" s="26" t="s">
        <v>252</v>
      </c>
      <c r="F129" s="26" t="s">
        <v>253</v>
      </c>
      <c r="G129" s="17" t="s">
        <v>268</v>
      </c>
      <c r="H129" s="26" t="s">
        <v>269</v>
      </c>
      <c r="I129" s="26" t="s">
        <v>37</v>
      </c>
      <c r="J129" s="45">
        <v>41362</v>
      </c>
      <c r="K129" s="26" t="s">
        <v>255</v>
      </c>
      <c r="L129" s="26">
        <v>80</v>
      </c>
      <c r="M129" s="26">
        <v>80</v>
      </c>
      <c r="N129" s="26">
        <v>2</v>
      </c>
      <c r="O129" s="26" t="s">
        <v>37</v>
      </c>
      <c r="P129" s="26">
        <v>2739</v>
      </c>
      <c r="R129" s="47">
        <v>45456.625</v>
      </c>
      <c r="S129" s="47">
        <v>45610.458333333336</v>
      </c>
      <c r="AA129" s="26">
        <v>28.867000000000001</v>
      </c>
      <c r="AB129" s="26">
        <v>36.4</v>
      </c>
      <c r="AC129" s="43">
        <v>4.2</v>
      </c>
      <c r="AD129" s="43">
        <v>10.4</v>
      </c>
      <c r="AE129" s="43">
        <v>8</v>
      </c>
      <c r="AF129" s="26">
        <v>63.3</v>
      </c>
      <c r="AG129" s="26">
        <v>-63.3</v>
      </c>
      <c r="AH129" s="29">
        <v>45610</v>
      </c>
      <c r="AI129" s="31">
        <v>0.41667824074074072</v>
      </c>
      <c r="AJ129" s="26"/>
      <c r="AL129" s="17">
        <f t="shared" si="26"/>
        <v>0</v>
      </c>
      <c r="AQ129" s="17">
        <f t="shared" si="29"/>
        <v>0</v>
      </c>
      <c r="AV129" s="17">
        <f t="shared" si="28"/>
        <v>0</v>
      </c>
      <c r="AZ129" s="26" t="s">
        <v>37</v>
      </c>
    </row>
    <row r="130" spans="1:52" ht="16" customHeight="1" x14ac:dyDescent="0.15">
      <c r="A130" s="26" t="s">
        <v>267</v>
      </c>
      <c r="B130" s="28"/>
      <c r="C130" s="28"/>
      <c r="D130" s="26" t="s">
        <v>257</v>
      </c>
      <c r="E130" s="26" t="s">
        <v>252</v>
      </c>
      <c r="F130" s="26" t="s">
        <v>253</v>
      </c>
      <c r="G130" s="17" t="s">
        <v>268</v>
      </c>
      <c r="H130" s="26" t="s">
        <v>269</v>
      </c>
      <c r="I130" s="26" t="s">
        <v>37</v>
      </c>
      <c r="J130" s="45">
        <v>41362</v>
      </c>
      <c r="K130" s="26" t="s">
        <v>255</v>
      </c>
      <c r="L130" s="26" t="s">
        <v>37</v>
      </c>
      <c r="M130" s="26">
        <v>80</v>
      </c>
      <c r="N130" s="26" t="s">
        <v>37</v>
      </c>
      <c r="O130" s="26" t="s">
        <v>37</v>
      </c>
      <c r="P130" s="26">
        <v>2011</v>
      </c>
      <c r="R130" s="47">
        <v>45456.625</v>
      </c>
      <c r="S130" s="47">
        <v>45610.458333333336</v>
      </c>
      <c r="AA130" s="26">
        <v>28.867000000000001</v>
      </c>
      <c r="AB130" s="26">
        <v>36.4</v>
      </c>
      <c r="AC130" s="43">
        <v>4.2</v>
      </c>
      <c r="AD130" s="43">
        <v>10.4</v>
      </c>
      <c r="AE130" s="43">
        <v>8</v>
      </c>
      <c r="AF130" s="26">
        <v>63.3</v>
      </c>
      <c r="AG130" s="26">
        <v>-63.3</v>
      </c>
      <c r="AH130" s="29">
        <v>45610</v>
      </c>
      <c r="AI130" s="31">
        <v>0.41667824074074072</v>
      </c>
      <c r="AJ130" s="26"/>
      <c r="AL130" s="17">
        <f t="shared" si="26"/>
        <v>0</v>
      </c>
      <c r="AQ130" s="17">
        <f t="shared" si="29"/>
        <v>0</v>
      </c>
      <c r="AV130" s="17">
        <f t="shared" si="28"/>
        <v>0</v>
      </c>
      <c r="AZ130" s="26" t="s">
        <v>37</v>
      </c>
    </row>
    <row r="131" spans="1:52" ht="16" customHeight="1" x14ac:dyDescent="0.15">
      <c r="A131" s="26" t="s">
        <v>270</v>
      </c>
      <c r="B131" s="28"/>
      <c r="C131" s="28"/>
      <c r="D131" s="26" t="s">
        <v>256</v>
      </c>
      <c r="E131" s="26" t="s">
        <v>252</v>
      </c>
      <c r="F131" s="26" t="s">
        <v>253</v>
      </c>
      <c r="G131" s="17" t="s">
        <v>271</v>
      </c>
      <c r="H131" s="26" t="s">
        <v>269</v>
      </c>
      <c r="I131" s="26" t="s">
        <v>37</v>
      </c>
      <c r="J131" s="45">
        <v>41366</v>
      </c>
      <c r="K131" s="26" t="s">
        <v>255</v>
      </c>
      <c r="L131" s="26">
        <v>20</v>
      </c>
      <c r="M131" s="26">
        <v>80</v>
      </c>
      <c r="N131" s="26">
        <v>1</v>
      </c>
      <c r="O131" s="26" t="s">
        <v>37</v>
      </c>
      <c r="P131" s="26">
        <v>1537</v>
      </c>
      <c r="R131" s="47">
        <v>45456.625</v>
      </c>
      <c r="S131" s="47">
        <v>45610.458333333336</v>
      </c>
      <c r="AA131" s="26">
        <v>24.067</v>
      </c>
      <c r="AB131" s="26">
        <v>60</v>
      </c>
      <c r="AC131" s="43">
        <v>35.6</v>
      </c>
      <c r="AD131" s="43">
        <v>37</v>
      </c>
      <c r="AE131" s="43">
        <v>35.200000000000003</v>
      </c>
      <c r="AF131" s="26">
        <v>41.5</v>
      </c>
      <c r="AG131" s="26">
        <v>-41.5</v>
      </c>
      <c r="AH131" s="29">
        <v>45610</v>
      </c>
      <c r="AI131" s="31">
        <v>0.41667824074074072</v>
      </c>
      <c r="AJ131" s="26"/>
      <c r="AL131" s="17">
        <f t="shared" si="26"/>
        <v>0</v>
      </c>
      <c r="AQ131" s="17">
        <f t="shared" si="29"/>
        <v>0</v>
      </c>
      <c r="AV131" s="17">
        <f t="shared" si="28"/>
        <v>0</v>
      </c>
      <c r="AZ131" s="26" t="s">
        <v>37</v>
      </c>
    </row>
    <row r="132" spans="1:52" ht="16" customHeight="1" x14ac:dyDescent="0.15">
      <c r="A132" s="26" t="s">
        <v>270</v>
      </c>
      <c r="B132" s="28"/>
      <c r="C132" s="28"/>
      <c r="D132" s="26" t="s">
        <v>256</v>
      </c>
      <c r="E132" s="26" t="s">
        <v>252</v>
      </c>
      <c r="F132" s="26" t="s">
        <v>253</v>
      </c>
      <c r="G132" s="17" t="s">
        <v>271</v>
      </c>
      <c r="H132" s="26" t="s">
        <v>269</v>
      </c>
      <c r="I132" s="26" t="s">
        <v>37</v>
      </c>
      <c r="J132" s="45">
        <v>41366</v>
      </c>
      <c r="K132" s="26" t="s">
        <v>255</v>
      </c>
      <c r="L132" s="26">
        <v>80</v>
      </c>
      <c r="M132" s="26">
        <v>80</v>
      </c>
      <c r="N132" s="26">
        <v>2</v>
      </c>
      <c r="O132" s="26" t="s">
        <v>37</v>
      </c>
      <c r="P132" s="26">
        <v>2435</v>
      </c>
      <c r="R132" s="47">
        <v>45456.625</v>
      </c>
      <c r="S132" s="47">
        <v>45610.458333333336</v>
      </c>
      <c r="AA132" s="26">
        <v>24.067</v>
      </c>
      <c r="AB132" s="26">
        <v>60</v>
      </c>
      <c r="AC132" s="43">
        <v>35.6</v>
      </c>
      <c r="AD132" s="43">
        <v>37</v>
      </c>
      <c r="AE132" s="43">
        <v>35.200000000000003</v>
      </c>
      <c r="AF132" s="26">
        <v>41.5</v>
      </c>
      <c r="AG132" s="26">
        <v>-41.5</v>
      </c>
      <c r="AH132" s="29">
        <v>45610</v>
      </c>
      <c r="AI132" s="31">
        <v>0.41667824074074072</v>
      </c>
      <c r="AJ132" s="26"/>
      <c r="AL132" s="17">
        <f t="shared" si="26"/>
        <v>0</v>
      </c>
      <c r="AQ132" s="17">
        <f t="shared" si="29"/>
        <v>0</v>
      </c>
      <c r="AV132" s="17">
        <f t="shared" si="28"/>
        <v>0</v>
      </c>
      <c r="AZ132" s="26" t="s">
        <v>37</v>
      </c>
    </row>
    <row r="133" spans="1:52" ht="16" customHeight="1" x14ac:dyDescent="0.15">
      <c r="A133" s="26" t="s">
        <v>270</v>
      </c>
      <c r="B133" s="28"/>
      <c r="C133" s="28"/>
      <c r="D133" s="26" t="s">
        <v>257</v>
      </c>
      <c r="E133" s="26" t="s">
        <v>252</v>
      </c>
      <c r="F133" s="26" t="s">
        <v>253</v>
      </c>
      <c r="G133" s="17" t="s">
        <v>271</v>
      </c>
      <c r="H133" s="26" t="s">
        <v>269</v>
      </c>
      <c r="I133" s="26" t="s">
        <v>37</v>
      </c>
      <c r="J133" s="45">
        <v>41366</v>
      </c>
      <c r="K133" s="26" t="s">
        <v>255</v>
      </c>
      <c r="L133" s="26" t="s">
        <v>37</v>
      </c>
      <c r="M133" s="26">
        <v>80</v>
      </c>
      <c r="N133" s="26" t="s">
        <v>37</v>
      </c>
      <c r="O133" s="26" t="s">
        <v>37</v>
      </c>
      <c r="P133" s="26">
        <v>2174</v>
      </c>
      <c r="R133" s="47">
        <v>45456.625</v>
      </c>
      <c r="S133" s="47">
        <v>45610.458333333336</v>
      </c>
      <c r="AA133" s="26">
        <v>24.067</v>
      </c>
      <c r="AB133" s="26">
        <v>60</v>
      </c>
      <c r="AC133" s="43">
        <v>35.6</v>
      </c>
      <c r="AD133" s="43">
        <v>37</v>
      </c>
      <c r="AE133" s="43">
        <v>35.200000000000003</v>
      </c>
      <c r="AF133" s="26">
        <v>41.5</v>
      </c>
      <c r="AG133" s="26">
        <v>-41.5</v>
      </c>
      <c r="AH133" s="29">
        <v>45610</v>
      </c>
      <c r="AI133" s="31">
        <v>0.41667824074074072</v>
      </c>
      <c r="AJ133" s="26"/>
      <c r="AL133" s="17">
        <f t="shared" si="26"/>
        <v>0</v>
      </c>
      <c r="AQ133" s="17">
        <f t="shared" si="29"/>
        <v>0</v>
      </c>
      <c r="AV133" s="17">
        <f t="shared" si="28"/>
        <v>0</v>
      </c>
      <c r="AZ133" s="26" t="s">
        <v>37</v>
      </c>
    </row>
    <row r="134" spans="1:52" ht="16" customHeight="1" x14ac:dyDescent="0.15">
      <c r="A134" s="26" t="s">
        <v>272</v>
      </c>
      <c r="B134" s="28"/>
      <c r="C134" s="28"/>
      <c r="D134" s="26" t="s">
        <v>256</v>
      </c>
      <c r="E134" s="26" t="s">
        <v>252</v>
      </c>
      <c r="F134" s="26" t="s">
        <v>253</v>
      </c>
      <c r="G134" s="17" t="s">
        <v>273</v>
      </c>
      <c r="H134" s="26" t="s">
        <v>269</v>
      </c>
      <c r="I134" s="26" t="s">
        <v>37</v>
      </c>
      <c r="J134" s="45">
        <v>41370</v>
      </c>
      <c r="K134" s="26" t="s">
        <v>255</v>
      </c>
      <c r="L134" s="26">
        <v>20</v>
      </c>
      <c r="M134" s="26">
        <v>80</v>
      </c>
      <c r="N134" s="26">
        <v>1</v>
      </c>
      <c r="O134" s="26" t="s">
        <v>37</v>
      </c>
      <c r="P134" s="26">
        <v>1639</v>
      </c>
      <c r="R134" s="47">
        <v>45456.625</v>
      </c>
      <c r="S134" s="47">
        <v>45610.458333333336</v>
      </c>
      <c r="AA134" s="26">
        <v>30.533000000000001</v>
      </c>
      <c r="AB134" s="26">
        <v>-29.8</v>
      </c>
      <c r="AC134" s="43">
        <v>-56.6</v>
      </c>
      <c r="AD134" s="43">
        <v>-61.6</v>
      </c>
      <c r="AE134" s="43">
        <v>-62.8</v>
      </c>
      <c r="AF134" s="26">
        <v>44</v>
      </c>
      <c r="AG134" s="26">
        <v>-44</v>
      </c>
      <c r="AH134" s="29">
        <v>45610</v>
      </c>
      <c r="AI134" s="31">
        <v>0.41667824074074072</v>
      </c>
      <c r="AJ134" s="26"/>
      <c r="AL134" s="17">
        <f t="shared" si="26"/>
        <v>0</v>
      </c>
      <c r="AQ134" s="17">
        <f t="shared" si="29"/>
        <v>0</v>
      </c>
      <c r="AV134" s="17">
        <f t="shared" si="28"/>
        <v>0</v>
      </c>
      <c r="AZ134" s="26" t="s">
        <v>37</v>
      </c>
    </row>
    <row r="135" spans="1:52" ht="16" customHeight="1" x14ac:dyDescent="0.15">
      <c r="A135" s="26" t="s">
        <v>272</v>
      </c>
      <c r="B135" s="28"/>
      <c r="C135" s="28"/>
      <c r="D135" s="26" t="s">
        <v>256</v>
      </c>
      <c r="E135" s="26" t="s">
        <v>252</v>
      </c>
      <c r="F135" s="26" t="s">
        <v>253</v>
      </c>
      <c r="G135" s="17" t="s">
        <v>273</v>
      </c>
      <c r="H135" s="26" t="s">
        <v>269</v>
      </c>
      <c r="I135" s="26" t="s">
        <v>37</v>
      </c>
      <c r="J135" s="45">
        <v>41370</v>
      </c>
      <c r="K135" s="26" t="s">
        <v>255</v>
      </c>
      <c r="L135" s="26">
        <v>80</v>
      </c>
      <c r="M135" s="26">
        <v>80</v>
      </c>
      <c r="N135" s="26">
        <v>2</v>
      </c>
      <c r="O135" s="26" t="s">
        <v>37</v>
      </c>
      <c r="P135" s="26">
        <v>2716</v>
      </c>
      <c r="R135" s="47">
        <v>45456.625</v>
      </c>
      <c r="S135" s="47">
        <v>45610.458333333336</v>
      </c>
      <c r="AA135" s="26">
        <v>30.533000000000001</v>
      </c>
      <c r="AB135" s="26">
        <v>-29.8</v>
      </c>
      <c r="AC135" s="43">
        <v>-56.6</v>
      </c>
      <c r="AD135" s="43">
        <v>-61.6</v>
      </c>
      <c r="AE135" s="43">
        <v>-62.8</v>
      </c>
      <c r="AF135" s="26">
        <v>44</v>
      </c>
      <c r="AG135" s="26">
        <v>-44</v>
      </c>
      <c r="AH135" s="29">
        <v>45610</v>
      </c>
      <c r="AI135" s="31">
        <v>0.41667824074074072</v>
      </c>
      <c r="AJ135" s="26"/>
      <c r="AL135" s="17">
        <f t="shared" si="26"/>
        <v>0</v>
      </c>
      <c r="AQ135" s="17">
        <f t="shared" si="29"/>
        <v>0</v>
      </c>
      <c r="AV135" s="17">
        <f t="shared" si="28"/>
        <v>0</v>
      </c>
      <c r="AZ135" s="26" t="s">
        <v>37</v>
      </c>
    </row>
    <row r="136" spans="1:52" ht="16" customHeight="1" x14ac:dyDescent="0.15">
      <c r="A136" s="26" t="s">
        <v>272</v>
      </c>
      <c r="B136" s="28"/>
      <c r="C136" s="28"/>
      <c r="D136" s="26" t="s">
        <v>257</v>
      </c>
      <c r="E136" s="26" t="s">
        <v>252</v>
      </c>
      <c r="F136" s="26" t="s">
        <v>253</v>
      </c>
      <c r="G136" s="17" t="s">
        <v>273</v>
      </c>
      <c r="H136" s="26" t="s">
        <v>269</v>
      </c>
      <c r="I136" s="26" t="s">
        <v>37</v>
      </c>
      <c r="J136" s="45">
        <v>41370</v>
      </c>
      <c r="K136" s="26" t="s">
        <v>255</v>
      </c>
      <c r="L136" s="26" t="s">
        <v>37</v>
      </c>
      <c r="M136" s="26">
        <v>80</v>
      </c>
      <c r="N136" s="26" t="s">
        <v>37</v>
      </c>
      <c r="O136" s="26" t="s">
        <v>37</v>
      </c>
      <c r="P136" s="26">
        <v>2329</v>
      </c>
      <c r="R136" s="47">
        <v>45456.625</v>
      </c>
      <c r="S136" s="47">
        <v>45610.458333333336</v>
      </c>
      <c r="AA136" s="26">
        <v>30.533000000000001</v>
      </c>
      <c r="AB136" s="26">
        <v>-29.8</v>
      </c>
      <c r="AC136" s="43">
        <v>-56.6</v>
      </c>
      <c r="AD136" s="43">
        <v>-61.6</v>
      </c>
      <c r="AE136" s="43">
        <v>-62.8</v>
      </c>
      <c r="AF136" s="26">
        <v>44</v>
      </c>
      <c r="AG136" s="26">
        <v>-44</v>
      </c>
      <c r="AH136" s="29">
        <v>45610</v>
      </c>
      <c r="AI136" s="31">
        <v>0.41667824074074072</v>
      </c>
      <c r="AJ136" s="26"/>
      <c r="AL136" s="17">
        <f t="shared" si="26"/>
        <v>0</v>
      </c>
      <c r="AQ136" s="17">
        <f t="shared" si="29"/>
        <v>0</v>
      </c>
      <c r="AV136" s="17">
        <f t="shared" si="28"/>
        <v>0</v>
      </c>
      <c r="AZ136" s="26" t="s">
        <v>37</v>
      </c>
    </row>
    <row r="137" spans="1:52" ht="16" customHeight="1" x14ac:dyDescent="0.15">
      <c r="A137" s="26" t="s">
        <v>274</v>
      </c>
      <c r="B137" s="28"/>
      <c r="C137" s="28"/>
      <c r="D137" s="26" t="s">
        <v>256</v>
      </c>
      <c r="E137" s="26" t="s">
        <v>252</v>
      </c>
      <c r="F137" s="26" t="s">
        <v>253</v>
      </c>
      <c r="G137" s="17" t="s">
        <v>275</v>
      </c>
      <c r="H137" s="26" t="s">
        <v>265</v>
      </c>
      <c r="I137" s="26">
        <v>41383</v>
      </c>
      <c r="J137" s="45">
        <v>41372</v>
      </c>
      <c r="K137" s="26" t="s">
        <v>255</v>
      </c>
      <c r="L137" s="26">
        <v>20</v>
      </c>
      <c r="M137" s="26">
        <v>80</v>
      </c>
      <c r="N137" s="26">
        <v>1</v>
      </c>
      <c r="O137" s="26" t="s">
        <v>37</v>
      </c>
      <c r="P137" s="26">
        <v>1511</v>
      </c>
      <c r="Q137" s="68" t="s">
        <v>518</v>
      </c>
      <c r="R137" s="47">
        <v>45456.625</v>
      </c>
      <c r="S137" s="47">
        <v>45610.458333333336</v>
      </c>
      <c r="AA137" s="26">
        <v>17.399999999999999</v>
      </c>
      <c r="AB137" s="26">
        <v>33.799999999999997</v>
      </c>
      <c r="AC137" s="43">
        <v>13.6</v>
      </c>
      <c r="AD137" s="43">
        <v>19.2</v>
      </c>
      <c r="AE137" s="43">
        <v>16.399999999999999</v>
      </c>
      <c r="AF137" s="26">
        <v>53</v>
      </c>
      <c r="AG137" s="26">
        <v>-53</v>
      </c>
      <c r="AH137" s="29">
        <v>45610</v>
      </c>
      <c r="AI137" s="31">
        <v>0.41667824074074072</v>
      </c>
      <c r="AJ137" s="26"/>
      <c r="AL137" s="17">
        <f t="shared" si="26"/>
        <v>0</v>
      </c>
      <c r="AQ137" s="17">
        <f t="shared" si="29"/>
        <v>0</v>
      </c>
      <c r="AV137" s="17">
        <f t="shared" si="28"/>
        <v>0</v>
      </c>
      <c r="AZ137" s="26" t="s">
        <v>37</v>
      </c>
    </row>
    <row r="138" spans="1:52" ht="16" customHeight="1" x14ac:dyDescent="0.15">
      <c r="A138" s="26" t="s">
        <v>274</v>
      </c>
      <c r="B138" s="28"/>
      <c r="C138" s="28"/>
      <c r="D138" s="26" t="s">
        <v>256</v>
      </c>
      <c r="E138" s="26" t="s">
        <v>252</v>
      </c>
      <c r="F138" s="26" t="s">
        <v>253</v>
      </c>
      <c r="G138" s="17" t="s">
        <v>275</v>
      </c>
      <c r="H138" s="26" t="s">
        <v>265</v>
      </c>
      <c r="I138" s="26">
        <v>41383</v>
      </c>
      <c r="J138" s="45">
        <v>41372</v>
      </c>
      <c r="K138" s="26" t="s">
        <v>255</v>
      </c>
      <c r="L138" s="26">
        <v>80</v>
      </c>
      <c r="M138" s="26">
        <v>80</v>
      </c>
      <c r="N138" s="26">
        <v>2</v>
      </c>
      <c r="O138" s="26" t="s">
        <v>37</v>
      </c>
      <c r="P138" s="26">
        <v>2439</v>
      </c>
      <c r="Q138" s="68" t="s">
        <v>518</v>
      </c>
      <c r="R138" s="47">
        <v>45456.625</v>
      </c>
      <c r="S138" s="47">
        <v>45610.458333333336</v>
      </c>
      <c r="AA138" s="26">
        <v>17.399999999999999</v>
      </c>
      <c r="AB138" s="26">
        <v>33.799999999999997</v>
      </c>
      <c r="AC138" s="43">
        <v>13.6</v>
      </c>
      <c r="AD138" s="43">
        <v>19.2</v>
      </c>
      <c r="AE138" s="43">
        <v>16.399999999999999</v>
      </c>
      <c r="AF138" s="26">
        <v>53</v>
      </c>
      <c r="AG138" s="26">
        <v>-53</v>
      </c>
      <c r="AH138" s="29">
        <v>45610</v>
      </c>
      <c r="AI138" s="31">
        <v>0.41667824074074072</v>
      </c>
      <c r="AJ138" s="26"/>
      <c r="AL138" s="17">
        <f t="shared" si="26"/>
        <v>0</v>
      </c>
      <c r="AQ138" s="17">
        <f t="shared" si="29"/>
        <v>0</v>
      </c>
      <c r="AV138" s="17">
        <f t="shared" si="28"/>
        <v>0</v>
      </c>
      <c r="AZ138" s="26" t="s">
        <v>37</v>
      </c>
    </row>
    <row r="139" spans="1:52" ht="16" customHeight="1" x14ac:dyDescent="0.15">
      <c r="A139" s="26" t="s">
        <v>274</v>
      </c>
      <c r="B139" s="28"/>
      <c r="C139" s="28"/>
      <c r="D139" s="26" t="s">
        <v>257</v>
      </c>
      <c r="E139" s="26" t="s">
        <v>252</v>
      </c>
      <c r="F139" s="26" t="s">
        <v>253</v>
      </c>
      <c r="G139" s="17" t="s">
        <v>275</v>
      </c>
      <c r="H139" s="26" t="s">
        <v>265</v>
      </c>
      <c r="I139" s="26">
        <v>41383</v>
      </c>
      <c r="J139" s="45">
        <v>41372</v>
      </c>
      <c r="K139" s="26" t="s">
        <v>255</v>
      </c>
      <c r="L139" s="26" t="s">
        <v>37</v>
      </c>
      <c r="M139" s="26">
        <v>80</v>
      </c>
      <c r="N139" s="26" t="s">
        <v>37</v>
      </c>
      <c r="O139" s="26" t="s">
        <v>37</v>
      </c>
      <c r="P139" s="26">
        <v>1992</v>
      </c>
      <c r="Q139" s="68" t="s">
        <v>518</v>
      </c>
      <c r="R139" s="47">
        <v>45456.625</v>
      </c>
      <c r="S139" s="47">
        <v>45610.458333333336</v>
      </c>
      <c r="AA139" s="26">
        <v>17.399999999999999</v>
      </c>
      <c r="AB139" s="26">
        <v>33.799999999999997</v>
      </c>
      <c r="AC139" s="43">
        <v>13.6</v>
      </c>
      <c r="AD139" s="43">
        <v>19.2</v>
      </c>
      <c r="AE139" s="43">
        <v>16.399999999999999</v>
      </c>
      <c r="AF139" s="26">
        <v>53</v>
      </c>
      <c r="AG139" s="26">
        <v>-53</v>
      </c>
      <c r="AH139" s="29">
        <v>45610</v>
      </c>
      <c r="AI139" s="31">
        <v>0.41667824074074072</v>
      </c>
      <c r="AJ139" s="26"/>
      <c r="AL139" s="17">
        <f t="shared" si="26"/>
        <v>0</v>
      </c>
      <c r="AQ139" s="17">
        <f t="shared" si="29"/>
        <v>0</v>
      </c>
      <c r="AV139" s="17">
        <f t="shared" si="28"/>
        <v>0</v>
      </c>
      <c r="AZ139" s="26" t="s">
        <v>37</v>
      </c>
    </row>
    <row r="140" spans="1:52" ht="16" customHeight="1" x14ac:dyDescent="0.15">
      <c r="A140" s="26" t="s">
        <v>276</v>
      </c>
      <c r="B140" s="28"/>
      <c r="C140" s="28"/>
      <c r="D140" s="26" t="s">
        <v>256</v>
      </c>
      <c r="E140" s="26" t="s">
        <v>252</v>
      </c>
      <c r="F140" s="26" t="s">
        <v>253</v>
      </c>
      <c r="G140" s="17" t="s">
        <v>277</v>
      </c>
      <c r="H140" s="26" t="s">
        <v>265</v>
      </c>
      <c r="I140" s="26" t="s">
        <v>37</v>
      </c>
      <c r="J140" s="45">
        <v>41376</v>
      </c>
      <c r="K140" s="26" t="s">
        <v>255</v>
      </c>
      <c r="L140" s="26">
        <v>20</v>
      </c>
      <c r="M140" s="26">
        <v>80</v>
      </c>
      <c r="N140" s="26">
        <v>1</v>
      </c>
      <c r="O140" s="26" t="s">
        <v>37</v>
      </c>
      <c r="P140" s="26">
        <v>1647</v>
      </c>
      <c r="Q140" s="68" t="s">
        <v>278</v>
      </c>
      <c r="R140" s="47" t="s">
        <v>37</v>
      </c>
      <c r="S140" s="47" t="s">
        <v>37</v>
      </c>
      <c r="AA140" s="26">
        <v>28.6</v>
      </c>
      <c r="AB140" s="26">
        <v>-103.4</v>
      </c>
      <c r="AC140" s="43">
        <v>-132.6</v>
      </c>
      <c r="AD140" s="43">
        <v>-130.80000000000001</v>
      </c>
      <c r="AE140" s="43">
        <v>-132.6</v>
      </c>
      <c r="AF140" s="26">
        <v>36</v>
      </c>
      <c r="AG140" s="26">
        <v>-36</v>
      </c>
      <c r="AH140" s="29">
        <v>45610</v>
      </c>
      <c r="AI140" s="31">
        <v>0.41667824074074072</v>
      </c>
      <c r="AJ140" s="26"/>
      <c r="AL140" s="17">
        <f t="shared" si="26"/>
        <v>0</v>
      </c>
      <c r="AQ140" s="17">
        <f t="shared" si="29"/>
        <v>0</v>
      </c>
      <c r="AV140" s="17">
        <f t="shared" si="28"/>
        <v>0</v>
      </c>
      <c r="AZ140" s="26" t="s">
        <v>37</v>
      </c>
    </row>
    <row r="141" spans="1:52" ht="16" customHeight="1" x14ac:dyDescent="0.15">
      <c r="A141" s="26" t="s">
        <v>276</v>
      </c>
      <c r="B141" s="28"/>
      <c r="C141" s="28"/>
      <c r="D141" s="26" t="s">
        <v>256</v>
      </c>
      <c r="E141" s="26" t="s">
        <v>252</v>
      </c>
      <c r="F141" s="26" t="s">
        <v>253</v>
      </c>
      <c r="G141" s="17" t="s">
        <v>277</v>
      </c>
      <c r="H141" s="26" t="s">
        <v>265</v>
      </c>
      <c r="I141" s="26" t="s">
        <v>37</v>
      </c>
      <c r="J141" s="45">
        <v>41376</v>
      </c>
      <c r="K141" s="26" t="s">
        <v>255</v>
      </c>
      <c r="L141" s="26">
        <v>80</v>
      </c>
      <c r="M141" s="26">
        <v>80</v>
      </c>
      <c r="N141" s="26">
        <v>2</v>
      </c>
      <c r="O141" s="26" t="s">
        <v>37</v>
      </c>
      <c r="P141" s="26">
        <v>2749</v>
      </c>
      <c r="Q141" s="68" t="s">
        <v>278</v>
      </c>
      <c r="R141" s="47" t="s">
        <v>37</v>
      </c>
      <c r="S141" s="47" t="s">
        <v>37</v>
      </c>
      <c r="AA141" s="26">
        <v>28.6</v>
      </c>
      <c r="AB141" s="26">
        <v>-103.4</v>
      </c>
      <c r="AC141" s="43">
        <v>-132.6</v>
      </c>
      <c r="AD141" s="43">
        <v>-130.80000000000001</v>
      </c>
      <c r="AE141" s="43">
        <v>-132.6</v>
      </c>
      <c r="AF141" s="26">
        <v>36</v>
      </c>
      <c r="AG141" s="26">
        <v>-36</v>
      </c>
      <c r="AH141" s="29">
        <v>45610</v>
      </c>
      <c r="AI141" s="31">
        <v>0.41667824074074072</v>
      </c>
      <c r="AJ141" s="26"/>
      <c r="AL141" s="17">
        <f t="shared" si="26"/>
        <v>0</v>
      </c>
      <c r="AQ141" s="17">
        <f t="shared" si="29"/>
        <v>0</v>
      </c>
      <c r="AV141" s="17">
        <f t="shared" si="28"/>
        <v>0</v>
      </c>
      <c r="AZ141" s="26" t="s">
        <v>37</v>
      </c>
    </row>
    <row r="142" spans="1:52" ht="16" customHeight="1" x14ac:dyDescent="0.15">
      <c r="A142" s="26" t="s">
        <v>276</v>
      </c>
      <c r="B142" s="28"/>
      <c r="C142" s="28"/>
      <c r="D142" s="26" t="s">
        <v>257</v>
      </c>
      <c r="E142" s="26" t="s">
        <v>252</v>
      </c>
      <c r="F142" s="26" t="s">
        <v>253</v>
      </c>
      <c r="G142" s="17" t="s">
        <v>277</v>
      </c>
      <c r="H142" s="26" t="s">
        <v>265</v>
      </c>
      <c r="I142" s="26" t="s">
        <v>37</v>
      </c>
      <c r="J142" s="45">
        <v>41376</v>
      </c>
      <c r="K142" s="26" t="s">
        <v>255</v>
      </c>
      <c r="L142" s="26" t="s">
        <v>37</v>
      </c>
      <c r="M142" s="26">
        <v>80</v>
      </c>
      <c r="N142" s="26" t="s">
        <v>37</v>
      </c>
      <c r="O142" s="26" t="s">
        <v>37</v>
      </c>
      <c r="P142" s="26" t="s">
        <v>37</v>
      </c>
      <c r="Q142" s="68" t="s">
        <v>278</v>
      </c>
      <c r="R142" s="47">
        <v>45456.625</v>
      </c>
      <c r="S142" s="47">
        <v>45610.458333333336</v>
      </c>
      <c r="AA142" s="26">
        <v>28.6</v>
      </c>
      <c r="AB142" s="26">
        <v>-103.4</v>
      </c>
      <c r="AC142" s="43">
        <v>-132.6</v>
      </c>
      <c r="AD142" s="43">
        <v>-130.80000000000001</v>
      </c>
      <c r="AE142" s="43">
        <v>-132.6</v>
      </c>
      <c r="AF142" s="26">
        <v>36</v>
      </c>
      <c r="AG142" s="26">
        <v>-36</v>
      </c>
      <c r="AH142" s="29">
        <v>45610</v>
      </c>
      <c r="AI142" s="31">
        <v>0.41667824074074072</v>
      </c>
      <c r="AJ142" s="26"/>
      <c r="AL142" s="17">
        <f t="shared" si="26"/>
        <v>0</v>
      </c>
      <c r="AQ142" s="17">
        <f t="shared" si="29"/>
        <v>0</v>
      </c>
      <c r="AV142" s="17">
        <f t="shared" si="28"/>
        <v>0</v>
      </c>
      <c r="AZ142" s="26" t="s">
        <v>37</v>
      </c>
    </row>
    <row r="143" spans="1:52" ht="16" customHeight="1" x14ac:dyDescent="0.15">
      <c r="A143" s="26" t="s">
        <v>279</v>
      </c>
      <c r="B143" s="28"/>
      <c r="C143" s="28"/>
      <c r="D143" s="26" t="s">
        <v>256</v>
      </c>
      <c r="E143" s="26" t="s">
        <v>252</v>
      </c>
      <c r="F143" s="26" t="s">
        <v>253</v>
      </c>
      <c r="G143" s="17" t="s">
        <v>280</v>
      </c>
      <c r="H143" s="26" t="s">
        <v>265</v>
      </c>
      <c r="I143" s="26" t="s">
        <v>37</v>
      </c>
      <c r="J143" s="45">
        <v>41379</v>
      </c>
      <c r="K143" s="26" t="s">
        <v>255</v>
      </c>
      <c r="L143" s="26">
        <v>20</v>
      </c>
      <c r="M143" s="26">
        <v>80</v>
      </c>
      <c r="N143" s="26">
        <v>1</v>
      </c>
      <c r="O143" s="26" t="s">
        <v>37</v>
      </c>
      <c r="P143" s="26">
        <v>1662</v>
      </c>
      <c r="Q143" s="26" t="s">
        <v>258</v>
      </c>
      <c r="R143" s="47">
        <v>45456.625</v>
      </c>
      <c r="S143" s="47">
        <v>45610.458333333336</v>
      </c>
      <c r="AA143" s="26">
        <v>22.266999999999999</v>
      </c>
      <c r="AB143" s="26">
        <v>64.400000000000006</v>
      </c>
      <c r="AC143" s="43">
        <v>41.2</v>
      </c>
      <c r="AD143" s="43">
        <v>43.4</v>
      </c>
      <c r="AE143" s="43">
        <v>41.8</v>
      </c>
      <c r="AF143" s="26">
        <v>47.5</v>
      </c>
      <c r="AG143" s="26">
        <v>-47.5</v>
      </c>
      <c r="AH143" s="29">
        <v>45610</v>
      </c>
      <c r="AI143" s="31">
        <v>0.41667824074074072</v>
      </c>
      <c r="AJ143" s="26"/>
      <c r="AL143" s="17">
        <f t="shared" ref="AL143:AL174" si="30">AK143*-1</f>
        <v>0</v>
      </c>
      <c r="AQ143" s="17">
        <f t="shared" si="29"/>
        <v>0</v>
      </c>
      <c r="AV143" s="17">
        <f t="shared" ref="AV143:AV174" si="31">AU143*-1</f>
        <v>0</v>
      </c>
      <c r="AZ143" s="26" t="s">
        <v>37</v>
      </c>
    </row>
    <row r="144" spans="1:52" ht="16" customHeight="1" x14ac:dyDescent="0.15">
      <c r="A144" s="26" t="s">
        <v>279</v>
      </c>
      <c r="B144" s="28"/>
      <c r="C144" s="28"/>
      <c r="D144" s="26" t="s">
        <v>256</v>
      </c>
      <c r="E144" s="26" t="s">
        <v>252</v>
      </c>
      <c r="F144" s="26" t="s">
        <v>253</v>
      </c>
      <c r="G144" s="17" t="s">
        <v>280</v>
      </c>
      <c r="H144" s="26" t="s">
        <v>265</v>
      </c>
      <c r="I144" s="26" t="s">
        <v>37</v>
      </c>
      <c r="J144" s="45">
        <v>41379</v>
      </c>
      <c r="K144" s="26" t="s">
        <v>255</v>
      </c>
      <c r="L144" s="26">
        <v>80</v>
      </c>
      <c r="M144" s="26">
        <v>80</v>
      </c>
      <c r="N144" s="26">
        <v>2</v>
      </c>
      <c r="O144" s="26" t="s">
        <v>37</v>
      </c>
      <c r="P144" s="26">
        <v>2742</v>
      </c>
      <c r="R144" s="47">
        <v>45456.625</v>
      </c>
      <c r="S144" s="47">
        <v>45610.458333333336</v>
      </c>
      <c r="AA144" s="26">
        <v>22.266999999999999</v>
      </c>
      <c r="AB144" s="26">
        <v>64.400000000000006</v>
      </c>
      <c r="AC144" s="43">
        <v>41.2</v>
      </c>
      <c r="AD144" s="43">
        <v>43.4</v>
      </c>
      <c r="AE144" s="43">
        <v>41.8</v>
      </c>
      <c r="AF144" s="26">
        <v>47.5</v>
      </c>
      <c r="AG144" s="26">
        <v>-47.5</v>
      </c>
      <c r="AH144" s="29">
        <v>45610</v>
      </c>
      <c r="AI144" s="31">
        <v>0.41667824074074072</v>
      </c>
      <c r="AJ144" s="26"/>
      <c r="AL144" s="17">
        <f t="shared" si="30"/>
        <v>0</v>
      </c>
      <c r="AQ144" s="17">
        <f t="shared" si="29"/>
        <v>0</v>
      </c>
      <c r="AV144" s="17">
        <f t="shared" si="31"/>
        <v>0</v>
      </c>
      <c r="AZ144" s="26" t="s">
        <v>37</v>
      </c>
    </row>
    <row r="145" spans="1:52" ht="16" customHeight="1" x14ac:dyDescent="0.15">
      <c r="A145" s="26" t="s">
        <v>279</v>
      </c>
      <c r="B145" s="28"/>
      <c r="C145" s="28"/>
      <c r="D145" s="26" t="s">
        <v>257</v>
      </c>
      <c r="E145" s="26" t="s">
        <v>252</v>
      </c>
      <c r="F145" s="26" t="s">
        <v>253</v>
      </c>
      <c r="G145" s="17" t="s">
        <v>280</v>
      </c>
      <c r="H145" s="26" t="s">
        <v>265</v>
      </c>
      <c r="I145" s="26" t="s">
        <v>37</v>
      </c>
      <c r="J145" s="45">
        <v>41379</v>
      </c>
      <c r="K145" s="26" t="s">
        <v>255</v>
      </c>
      <c r="L145" s="26" t="s">
        <v>37</v>
      </c>
      <c r="M145" s="26">
        <v>80</v>
      </c>
      <c r="N145" s="26" t="s">
        <v>37</v>
      </c>
      <c r="O145" s="26" t="s">
        <v>37</v>
      </c>
      <c r="P145" s="26">
        <v>2295</v>
      </c>
      <c r="R145" s="47">
        <v>45456.625</v>
      </c>
      <c r="S145" s="47">
        <v>45610.458333333336</v>
      </c>
      <c r="AA145" s="26">
        <v>22.266999999999999</v>
      </c>
      <c r="AB145" s="26">
        <v>64.400000000000006</v>
      </c>
      <c r="AC145" s="43">
        <v>41.2</v>
      </c>
      <c r="AD145" s="43">
        <v>43.4</v>
      </c>
      <c r="AE145" s="43">
        <v>41.8</v>
      </c>
      <c r="AF145" s="26">
        <v>47.5</v>
      </c>
      <c r="AG145" s="26">
        <v>-47.5</v>
      </c>
      <c r="AH145" s="29">
        <v>45610</v>
      </c>
      <c r="AI145" s="31">
        <v>0.41667824074074072</v>
      </c>
      <c r="AJ145" s="26"/>
      <c r="AL145" s="17">
        <f t="shared" si="30"/>
        <v>0</v>
      </c>
      <c r="AQ145" s="17">
        <f t="shared" si="29"/>
        <v>0</v>
      </c>
      <c r="AV145" s="17">
        <f t="shared" si="31"/>
        <v>0</v>
      </c>
      <c r="AZ145" s="26" t="s">
        <v>37</v>
      </c>
    </row>
    <row r="146" spans="1:52" ht="16" customHeight="1" x14ac:dyDescent="0.15">
      <c r="A146" s="26" t="s">
        <v>281</v>
      </c>
      <c r="B146" s="28"/>
      <c r="C146" s="28"/>
      <c r="D146" s="26" t="s">
        <v>256</v>
      </c>
      <c r="E146" s="26" t="s">
        <v>252</v>
      </c>
      <c r="F146" s="26" t="s">
        <v>253</v>
      </c>
      <c r="G146" s="17" t="s">
        <v>282</v>
      </c>
      <c r="H146" s="26" t="s">
        <v>269</v>
      </c>
      <c r="I146" s="26" t="s">
        <v>37</v>
      </c>
      <c r="J146" s="45">
        <v>41387</v>
      </c>
      <c r="K146" s="26" t="s">
        <v>255</v>
      </c>
      <c r="L146" s="26">
        <v>20</v>
      </c>
      <c r="M146" s="26">
        <v>80</v>
      </c>
      <c r="N146" s="26">
        <v>1</v>
      </c>
      <c r="O146" s="26" t="s">
        <v>37</v>
      </c>
      <c r="P146" s="26">
        <v>1638</v>
      </c>
      <c r="R146" s="47">
        <v>45456.625</v>
      </c>
      <c r="S146" s="47">
        <v>45610.458333333336</v>
      </c>
      <c r="AA146" s="26">
        <v>31.867000000000001</v>
      </c>
      <c r="AB146" s="26">
        <v>-92</v>
      </c>
      <c r="AC146" s="43">
        <v>-124.2</v>
      </c>
      <c r="AD146" s="43">
        <v>-124.2</v>
      </c>
      <c r="AE146" s="43">
        <v>-123.2</v>
      </c>
      <c r="AF146" s="26">
        <v>29</v>
      </c>
      <c r="AG146" s="26">
        <v>-29</v>
      </c>
      <c r="AH146" s="29">
        <v>45610</v>
      </c>
      <c r="AI146" s="31">
        <v>0.41667824074074072</v>
      </c>
      <c r="AJ146" s="26"/>
      <c r="AL146" s="17">
        <f t="shared" si="30"/>
        <v>0</v>
      </c>
      <c r="AQ146" s="17">
        <f t="shared" si="29"/>
        <v>0</v>
      </c>
      <c r="AV146" s="17">
        <f t="shared" si="31"/>
        <v>0</v>
      </c>
      <c r="AZ146" s="26" t="s">
        <v>37</v>
      </c>
    </row>
    <row r="147" spans="1:52" ht="16" customHeight="1" x14ac:dyDescent="0.15">
      <c r="A147" s="26" t="s">
        <v>281</v>
      </c>
      <c r="B147" s="28"/>
      <c r="C147" s="28"/>
      <c r="D147" s="26" t="s">
        <v>256</v>
      </c>
      <c r="E147" s="26" t="s">
        <v>252</v>
      </c>
      <c r="F147" s="26" t="s">
        <v>253</v>
      </c>
      <c r="G147" s="17" t="s">
        <v>282</v>
      </c>
      <c r="H147" s="26" t="s">
        <v>269</v>
      </c>
      <c r="I147" s="26" t="s">
        <v>37</v>
      </c>
      <c r="J147" s="45">
        <v>41387</v>
      </c>
      <c r="K147" s="26" t="s">
        <v>255</v>
      </c>
      <c r="L147" s="26">
        <v>80</v>
      </c>
      <c r="M147" s="26">
        <v>80</v>
      </c>
      <c r="N147" s="26">
        <v>2</v>
      </c>
      <c r="O147" s="26" t="s">
        <v>37</v>
      </c>
      <c r="P147" s="26">
        <v>2759</v>
      </c>
      <c r="R147" s="47">
        <v>45456.625</v>
      </c>
      <c r="S147" s="47">
        <v>45610.458333333336</v>
      </c>
      <c r="AA147" s="26">
        <v>31.867000000000001</v>
      </c>
      <c r="AB147" s="26">
        <v>-92</v>
      </c>
      <c r="AC147" s="43">
        <v>-124.2</v>
      </c>
      <c r="AD147" s="43">
        <v>-124.2</v>
      </c>
      <c r="AE147" s="43">
        <v>-123.2</v>
      </c>
      <c r="AF147" s="26">
        <v>29</v>
      </c>
      <c r="AG147" s="26">
        <v>-29</v>
      </c>
      <c r="AH147" s="29">
        <v>45610</v>
      </c>
      <c r="AI147" s="31">
        <v>0.41667824074074072</v>
      </c>
      <c r="AJ147" s="26"/>
      <c r="AL147" s="17">
        <f t="shared" si="30"/>
        <v>0</v>
      </c>
      <c r="AQ147" s="17">
        <f t="shared" si="29"/>
        <v>0</v>
      </c>
      <c r="AV147" s="17">
        <f t="shared" si="31"/>
        <v>0</v>
      </c>
      <c r="AZ147" s="26" t="s">
        <v>37</v>
      </c>
    </row>
    <row r="148" spans="1:52" ht="16" customHeight="1" x14ac:dyDescent="0.15">
      <c r="A148" s="26" t="s">
        <v>281</v>
      </c>
      <c r="B148" s="28"/>
      <c r="C148" s="28"/>
      <c r="D148" s="26" t="s">
        <v>257</v>
      </c>
      <c r="E148" s="26" t="s">
        <v>252</v>
      </c>
      <c r="F148" s="26" t="s">
        <v>253</v>
      </c>
      <c r="G148" s="17" t="s">
        <v>282</v>
      </c>
      <c r="H148" s="26" t="s">
        <v>269</v>
      </c>
      <c r="I148" s="26" t="s">
        <v>37</v>
      </c>
      <c r="J148" s="45">
        <v>41387</v>
      </c>
      <c r="K148" s="26" t="s">
        <v>255</v>
      </c>
      <c r="L148" s="26" t="s">
        <v>37</v>
      </c>
      <c r="M148" s="26">
        <v>80</v>
      </c>
      <c r="N148" s="26" t="s">
        <v>37</v>
      </c>
      <c r="O148" s="26" t="s">
        <v>37</v>
      </c>
      <c r="P148" s="26">
        <v>2552</v>
      </c>
      <c r="R148" s="47">
        <v>45456.625</v>
      </c>
      <c r="S148" s="47">
        <v>45610.458333333336</v>
      </c>
      <c r="AA148" s="26">
        <v>31.867000000000001</v>
      </c>
      <c r="AB148" s="26">
        <v>-92</v>
      </c>
      <c r="AC148" s="43">
        <v>-124.2</v>
      </c>
      <c r="AD148" s="43">
        <v>-124.2</v>
      </c>
      <c r="AE148" s="43">
        <v>-123.2</v>
      </c>
      <c r="AF148" s="26">
        <v>29</v>
      </c>
      <c r="AG148" s="26">
        <v>-29</v>
      </c>
      <c r="AH148" s="29">
        <v>45610</v>
      </c>
      <c r="AI148" s="31">
        <v>0.41667824074074072</v>
      </c>
      <c r="AJ148" s="26"/>
      <c r="AL148" s="17">
        <f t="shared" si="30"/>
        <v>0</v>
      </c>
      <c r="AQ148" s="17">
        <f t="shared" si="29"/>
        <v>0</v>
      </c>
      <c r="AV148" s="17">
        <f t="shared" si="31"/>
        <v>0</v>
      </c>
      <c r="AZ148" s="26" t="s">
        <v>37</v>
      </c>
    </row>
    <row r="149" spans="1:52" ht="16" customHeight="1" x14ac:dyDescent="0.15">
      <c r="A149" s="26" t="s">
        <v>283</v>
      </c>
      <c r="B149" s="28"/>
      <c r="C149" s="28"/>
      <c r="D149" s="26" t="s">
        <v>256</v>
      </c>
      <c r="E149" s="26" t="s">
        <v>252</v>
      </c>
      <c r="F149" s="26" t="s">
        <v>253</v>
      </c>
      <c r="G149" s="17" t="s">
        <v>284</v>
      </c>
      <c r="H149" s="26" t="s">
        <v>260</v>
      </c>
      <c r="I149" s="26" t="s">
        <v>37</v>
      </c>
      <c r="J149" s="45">
        <v>42564</v>
      </c>
      <c r="K149" s="26" t="s">
        <v>255</v>
      </c>
      <c r="L149" s="26">
        <v>20</v>
      </c>
      <c r="M149" s="26">
        <v>140</v>
      </c>
      <c r="N149" s="26">
        <v>1</v>
      </c>
      <c r="O149" s="26" t="s">
        <v>37</v>
      </c>
      <c r="P149" s="26">
        <v>1848</v>
      </c>
      <c r="R149" s="47">
        <v>45456.625</v>
      </c>
      <c r="S149" s="47">
        <v>45610.458333333336</v>
      </c>
      <c r="AA149" s="26">
        <v>33.267000000000003</v>
      </c>
      <c r="AB149" s="26">
        <v>62.2</v>
      </c>
      <c r="AC149" s="43">
        <v>27.4</v>
      </c>
      <c r="AD149" s="43">
        <v>28</v>
      </c>
      <c r="AE149" s="43">
        <v>31.4</v>
      </c>
      <c r="AF149" s="26">
        <v>53.9</v>
      </c>
      <c r="AG149" s="26">
        <v>-53.9</v>
      </c>
      <c r="AH149" s="29">
        <v>45610</v>
      </c>
      <c r="AI149" s="31">
        <v>0.41667824074074072</v>
      </c>
      <c r="AJ149" s="26"/>
      <c r="AL149" s="17">
        <f t="shared" si="30"/>
        <v>0</v>
      </c>
      <c r="AQ149" s="17">
        <f t="shared" si="29"/>
        <v>0</v>
      </c>
      <c r="AV149" s="17">
        <f t="shared" si="31"/>
        <v>0</v>
      </c>
      <c r="AZ149" s="26" t="s">
        <v>37</v>
      </c>
    </row>
    <row r="150" spans="1:52" ht="16" customHeight="1" x14ac:dyDescent="0.15">
      <c r="A150" s="26" t="s">
        <v>283</v>
      </c>
      <c r="B150" s="28"/>
      <c r="C150" s="28"/>
      <c r="D150" s="26" t="s">
        <v>256</v>
      </c>
      <c r="E150" s="26" t="s">
        <v>252</v>
      </c>
      <c r="F150" s="26" t="s">
        <v>253</v>
      </c>
      <c r="G150" s="17" t="s">
        <v>284</v>
      </c>
      <c r="H150" s="26" t="s">
        <v>260</v>
      </c>
      <c r="I150" s="26" t="s">
        <v>37</v>
      </c>
      <c r="J150" s="45">
        <v>42564</v>
      </c>
      <c r="K150" s="26" t="s">
        <v>255</v>
      </c>
      <c r="L150" s="26">
        <v>140</v>
      </c>
      <c r="M150" s="26">
        <v>140</v>
      </c>
      <c r="N150" s="26">
        <v>2</v>
      </c>
      <c r="O150" s="26" t="s">
        <v>37</v>
      </c>
      <c r="P150" s="26">
        <v>3691</v>
      </c>
      <c r="R150" s="47">
        <v>45456.625</v>
      </c>
      <c r="S150" s="47">
        <v>45610.458333333336</v>
      </c>
      <c r="AA150" s="26">
        <v>33.267000000000003</v>
      </c>
      <c r="AB150" s="26">
        <v>62.2</v>
      </c>
      <c r="AC150" s="43">
        <v>27.4</v>
      </c>
      <c r="AD150" s="43">
        <v>28</v>
      </c>
      <c r="AE150" s="43">
        <v>31.4</v>
      </c>
      <c r="AF150" s="26">
        <v>53.9</v>
      </c>
      <c r="AG150" s="26">
        <v>-53.9</v>
      </c>
      <c r="AH150" s="29">
        <v>45610</v>
      </c>
      <c r="AI150" s="31">
        <v>0.41667824074074072</v>
      </c>
      <c r="AJ150" s="26"/>
      <c r="AL150" s="17">
        <f t="shared" si="30"/>
        <v>0</v>
      </c>
      <c r="AQ150" s="17">
        <f t="shared" si="29"/>
        <v>0</v>
      </c>
      <c r="AV150" s="17">
        <f t="shared" si="31"/>
        <v>0</v>
      </c>
      <c r="AZ150" s="26" t="s">
        <v>37</v>
      </c>
    </row>
    <row r="151" spans="1:52" ht="16" customHeight="1" x14ac:dyDescent="0.15">
      <c r="A151" s="26" t="s">
        <v>283</v>
      </c>
      <c r="B151" s="28"/>
      <c r="C151" s="28"/>
      <c r="D151" s="26" t="s">
        <v>257</v>
      </c>
      <c r="E151" s="26" t="s">
        <v>252</v>
      </c>
      <c r="F151" s="26" t="s">
        <v>253</v>
      </c>
      <c r="G151" s="17" t="s">
        <v>284</v>
      </c>
      <c r="H151" s="26" t="s">
        <v>260</v>
      </c>
      <c r="I151" s="26" t="s">
        <v>37</v>
      </c>
      <c r="J151" s="45">
        <v>42564</v>
      </c>
      <c r="K151" s="26" t="s">
        <v>255</v>
      </c>
      <c r="L151" s="26" t="s">
        <v>37</v>
      </c>
      <c r="M151" s="26">
        <v>140</v>
      </c>
      <c r="N151" s="26" t="s">
        <v>37</v>
      </c>
      <c r="O151" s="26" t="s">
        <v>37</v>
      </c>
      <c r="P151" s="26">
        <v>1034</v>
      </c>
      <c r="R151" s="47">
        <v>45456.625</v>
      </c>
      <c r="S151" s="47">
        <v>45610.458333333336</v>
      </c>
      <c r="AA151" s="26">
        <v>33.267000000000003</v>
      </c>
      <c r="AB151" s="26">
        <v>62.2</v>
      </c>
      <c r="AC151" s="43">
        <v>27.4</v>
      </c>
      <c r="AD151" s="43">
        <v>28</v>
      </c>
      <c r="AE151" s="43">
        <v>31.4</v>
      </c>
      <c r="AF151" s="26">
        <v>53.9</v>
      </c>
      <c r="AG151" s="26">
        <v>-53.9</v>
      </c>
      <c r="AH151" s="29">
        <v>45610</v>
      </c>
      <c r="AI151" s="31">
        <v>0.41667824074074072</v>
      </c>
      <c r="AJ151" s="26"/>
      <c r="AL151" s="17">
        <f t="shared" si="30"/>
        <v>0</v>
      </c>
      <c r="AQ151" s="17">
        <f t="shared" ref="AQ151:AQ178" si="32">AP151*-1</f>
        <v>0</v>
      </c>
      <c r="AV151" s="17">
        <f t="shared" si="31"/>
        <v>0</v>
      </c>
      <c r="AZ151" s="26" t="s">
        <v>37</v>
      </c>
    </row>
    <row r="152" spans="1:52" ht="16" customHeight="1" x14ac:dyDescent="0.15">
      <c r="A152" s="26" t="s">
        <v>285</v>
      </c>
      <c r="B152" s="28"/>
      <c r="C152" s="28"/>
      <c r="D152" s="26" t="s">
        <v>256</v>
      </c>
      <c r="E152" s="26" t="s">
        <v>252</v>
      </c>
      <c r="F152" s="26" t="s">
        <v>253</v>
      </c>
      <c r="G152" s="17" t="s">
        <v>286</v>
      </c>
      <c r="H152" s="26" t="s">
        <v>260</v>
      </c>
      <c r="I152" s="26" t="s">
        <v>37</v>
      </c>
      <c r="J152" s="45">
        <v>42565</v>
      </c>
      <c r="K152" s="26" t="s">
        <v>255</v>
      </c>
      <c r="L152" s="26">
        <v>20</v>
      </c>
      <c r="M152" s="26">
        <v>140</v>
      </c>
      <c r="N152" s="26">
        <v>1</v>
      </c>
      <c r="O152" s="26" t="s">
        <v>37</v>
      </c>
      <c r="P152" s="26">
        <v>1858</v>
      </c>
      <c r="R152" s="47">
        <v>45456.625</v>
      </c>
      <c r="S152" s="47">
        <v>45610.458333333336</v>
      </c>
      <c r="AA152" s="26">
        <v>22.733000000000001</v>
      </c>
      <c r="AB152" s="26">
        <v>8.4</v>
      </c>
      <c r="AC152" s="43">
        <v>-13.4</v>
      </c>
      <c r="AD152" s="43">
        <v>-14.2</v>
      </c>
      <c r="AE152" s="43">
        <v>-15.4</v>
      </c>
      <c r="AF152" s="26">
        <v>46</v>
      </c>
      <c r="AG152" s="26">
        <v>-46</v>
      </c>
      <c r="AH152" s="29">
        <v>45610</v>
      </c>
      <c r="AI152" s="31">
        <v>0.41667824074074072</v>
      </c>
      <c r="AJ152" s="26"/>
      <c r="AL152" s="17">
        <f t="shared" si="30"/>
        <v>0</v>
      </c>
      <c r="AQ152" s="17">
        <f t="shared" si="32"/>
        <v>0</v>
      </c>
      <c r="AV152" s="17">
        <f t="shared" si="31"/>
        <v>0</v>
      </c>
      <c r="AZ152" s="26" t="s">
        <v>37</v>
      </c>
    </row>
    <row r="153" spans="1:52" ht="16" customHeight="1" x14ac:dyDescent="0.15">
      <c r="A153" s="26" t="s">
        <v>285</v>
      </c>
      <c r="B153" s="28"/>
      <c r="C153" s="28"/>
      <c r="D153" s="26" t="s">
        <v>256</v>
      </c>
      <c r="E153" s="26" t="s">
        <v>252</v>
      </c>
      <c r="F153" s="26" t="s">
        <v>253</v>
      </c>
      <c r="G153" s="17" t="s">
        <v>286</v>
      </c>
      <c r="H153" s="26" t="s">
        <v>260</v>
      </c>
      <c r="I153" s="26" t="s">
        <v>37</v>
      </c>
      <c r="J153" s="45">
        <v>42565</v>
      </c>
      <c r="K153" s="26" t="s">
        <v>255</v>
      </c>
      <c r="L153" s="26">
        <v>140</v>
      </c>
      <c r="M153" s="26">
        <v>140</v>
      </c>
      <c r="N153" s="26">
        <v>2</v>
      </c>
      <c r="O153" s="26" t="s">
        <v>37</v>
      </c>
      <c r="P153" s="26">
        <v>3693</v>
      </c>
      <c r="R153" s="47">
        <v>45456.625</v>
      </c>
      <c r="S153" s="47">
        <v>45610.458333333336</v>
      </c>
      <c r="AA153" s="26">
        <v>22.733000000000001</v>
      </c>
      <c r="AB153" s="26">
        <v>8.4</v>
      </c>
      <c r="AC153" s="43">
        <v>-13.4</v>
      </c>
      <c r="AD153" s="43">
        <v>-14.2</v>
      </c>
      <c r="AE153" s="43">
        <v>-15.4</v>
      </c>
      <c r="AF153" s="26">
        <v>46</v>
      </c>
      <c r="AG153" s="26">
        <v>-46</v>
      </c>
      <c r="AH153" s="29">
        <v>45610</v>
      </c>
      <c r="AI153" s="31">
        <v>0.41667824074074072</v>
      </c>
      <c r="AJ153" s="26"/>
      <c r="AL153" s="17">
        <f t="shared" si="30"/>
        <v>0</v>
      </c>
      <c r="AQ153" s="17">
        <f t="shared" si="32"/>
        <v>0</v>
      </c>
      <c r="AV153" s="17">
        <f t="shared" si="31"/>
        <v>0</v>
      </c>
      <c r="AZ153" s="26" t="s">
        <v>37</v>
      </c>
    </row>
    <row r="154" spans="1:52" ht="16" customHeight="1" x14ac:dyDescent="0.15">
      <c r="A154" s="26" t="s">
        <v>285</v>
      </c>
      <c r="B154" s="28"/>
      <c r="C154" s="28"/>
      <c r="D154" s="26" t="s">
        <v>257</v>
      </c>
      <c r="E154" s="26" t="s">
        <v>252</v>
      </c>
      <c r="F154" s="26" t="s">
        <v>253</v>
      </c>
      <c r="G154" s="17" t="s">
        <v>286</v>
      </c>
      <c r="H154" s="26" t="s">
        <v>260</v>
      </c>
      <c r="I154" s="26" t="s">
        <v>37</v>
      </c>
      <c r="J154" s="45">
        <v>42565</v>
      </c>
      <c r="K154" s="26" t="s">
        <v>255</v>
      </c>
      <c r="L154" s="26" t="s">
        <v>37</v>
      </c>
      <c r="M154" s="26">
        <v>140</v>
      </c>
      <c r="N154" s="26" t="s">
        <v>37</v>
      </c>
      <c r="O154" s="26" t="s">
        <v>37</v>
      </c>
      <c r="P154" s="26">
        <v>3344</v>
      </c>
      <c r="R154" s="47">
        <v>45456.625</v>
      </c>
      <c r="S154" s="47">
        <v>45610.458333333336</v>
      </c>
      <c r="AA154" s="26">
        <v>22.733000000000001</v>
      </c>
      <c r="AB154" s="26">
        <v>8.4</v>
      </c>
      <c r="AC154" s="43">
        <v>-13.4</v>
      </c>
      <c r="AD154" s="43">
        <v>-14.2</v>
      </c>
      <c r="AE154" s="43">
        <v>-15.4</v>
      </c>
      <c r="AF154" s="26">
        <v>46</v>
      </c>
      <c r="AG154" s="26">
        <v>-46</v>
      </c>
      <c r="AH154" s="29">
        <v>45610</v>
      </c>
      <c r="AI154" s="31">
        <v>0.41667824074074072</v>
      </c>
      <c r="AJ154" s="26"/>
      <c r="AL154" s="17">
        <f t="shared" si="30"/>
        <v>0</v>
      </c>
      <c r="AQ154" s="17">
        <f t="shared" si="32"/>
        <v>0</v>
      </c>
      <c r="AV154" s="17">
        <f t="shared" si="31"/>
        <v>0</v>
      </c>
      <c r="AZ154" s="26" t="s">
        <v>37</v>
      </c>
    </row>
    <row r="155" spans="1:52" s="68" customFormat="1" ht="14" customHeight="1" x14ac:dyDescent="0.15">
      <c r="A155" s="26" t="s">
        <v>287</v>
      </c>
      <c r="B155" s="28"/>
      <c r="C155" s="28"/>
      <c r="D155" s="26" t="s">
        <v>256</v>
      </c>
      <c r="E155" s="26" t="s">
        <v>252</v>
      </c>
      <c r="F155" s="26" t="s">
        <v>253</v>
      </c>
      <c r="G155" s="17" t="s">
        <v>288</v>
      </c>
      <c r="H155" s="26" t="s">
        <v>260</v>
      </c>
      <c r="I155" s="26" t="s">
        <v>37</v>
      </c>
      <c r="J155" s="45">
        <v>42566</v>
      </c>
      <c r="K155" s="26" t="s">
        <v>255</v>
      </c>
      <c r="L155" s="26">
        <v>20</v>
      </c>
      <c r="M155" s="26">
        <v>140</v>
      </c>
      <c r="N155" s="26">
        <v>1</v>
      </c>
      <c r="O155" s="26" t="s">
        <v>37</v>
      </c>
      <c r="P155" s="26">
        <v>1846</v>
      </c>
      <c r="Q155" s="26" t="s">
        <v>289</v>
      </c>
      <c r="R155" s="47">
        <v>45456.625</v>
      </c>
      <c r="S155" s="47">
        <v>45610.458333333336</v>
      </c>
      <c r="T155" s="27"/>
      <c r="U155" s="27"/>
      <c r="V155" s="27"/>
      <c r="W155" s="27"/>
      <c r="X155" s="27"/>
      <c r="Y155" s="27"/>
      <c r="Z155" s="27"/>
      <c r="AA155" s="26">
        <v>21.2</v>
      </c>
      <c r="AB155" s="26">
        <v>7</v>
      </c>
      <c r="AC155" s="43">
        <v>-10.4</v>
      </c>
      <c r="AD155" s="43">
        <v>-22.6</v>
      </c>
      <c r="AE155" s="43">
        <v>-9.6</v>
      </c>
      <c r="AF155" s="26">
        <v>71.5</v>
      </c>
      <c r="AG155" s="26">
        <v>-71.5</v>
      </c>
      <c r="AH155" s="29">
        <v>45610</v>
      </c>
      <c r="AI155" s="31">
        <v>0.41667824074074072</v>
      </c>
      <c r="AJ155" s="26"/>
      <c r="AK155" s="26"/>
      <c r="AL155" s="17">
        <f t="shared" si="30"/>
        <v>0</v>
      </c>
      <c r="AM155" s="26"/>
      <c r="AN155" s="26"/>
      <c r="AO155" s="26"/>
      <c r="AP155" s="26"/>
      <c r="AQ155" s="17">
        <f t="shared" si="32"/>
        <v>0</v>
      </c>
      <c r="AR155" s="26"/>
      <c r="AS155" s="26"/>
      <c r="AT155" s="26"/>
      <c r="AU155" s="26"/>
      <c r="AV155" s="17">
        <f t="shared" si="31"/>
        <v>0</v>
      </c>
      <c r="AW155" s="26"/>
      <c r="AX155" s="26"/>
      <c r="AY155" s="26"/>
      <c r="AZ155" s="26" t="s">
        <v>37</v>
      </c>
    </row>
    <row r="156" spans="1:52" s="68" customFormat="1" ht="14" customHeight="1" x14ac:dyDescent="0.15">
      <c r="A156" s="26" t="s">
        <v>287</v>
      </c>
      <c r="B156" s="28"/>
      <c r="C156" s="28"/>
      <c r="D156" s="26" t="s">
        <v>256</v>
      </c>
      <c r="E156" s="26" t="s">
        <v>252</v>
      </c>
      <c r="F156" s="26" t="s">
        <v>253</v>
      </c>
      <c r="G156" s="17" t="s">
        <v>288</v>
      </c>
      <c r="H156" s="26" t="s">
        <v>260</v>
      </c>
      <c r="I156" s="26" t="s">
        <v>37</v>
      </c>
      <c r="J156" s="45">
        <v>42566</v>
      </c>
      <c r="K156" s="26" t="s">
        <v>255</v>
      </c>
      <c r="L156" s="26">
        <v>140</v>
      </c>
      <c r="M156" s="26">
        <v>140</v>
      </c>
      <c r="N156" s="26">
        <v>2</v>
      </c>
      <c r="O156" s="26" t="s">
        <v>37</v>
      </c>
      <c r="P156" s="26">
        <v>3682</v>
      </c>
      <c r="Q156" s="26" t="s">
        <v>289</v>
      </c>
      <c r="R156" s="47">
        <v>45456.625</v>
      </c>
      <c r="S156" s="47">
        <v>45610.458333333336</v>
      </c>
      <c r="T156" s="27"/>
      <c r="U156" s="27"/>
      <c r="V156" s="27"/>
      <c r="W156" s="27"/>
      <c r="X156" s="27"/>
      <c r="Y156" s="27"/>
      <c r="Z156" s="27"/>
      <c r="AA156" s="26">
        <v>21.2</v>
      </c>
      <c r="AB156" s="26">
        <v>7</v>
      </c>
      <c r="AC156" s="43">
        <v>-10.4</v>
      </c>
      <c r="AD156" s="43">
        <v>-22.6</v>
      </c>
      <c r="AE156" s="43">
        <v>-9.6</v>
      </c>
      <c r="AF156" s="26">
        <v>71.5</v>
      </c>
      <c r="AG156" s="26">
        <v>-71.5</v>
      </c>
      <c r="AH156" s="29">
        <v>45610</v>
      </c>
      <c r="AI156" s="31">
        <v>0.41667824074074072</v>
      </c>
      <c r="AJ156" s="26"/>
      <c r="AK156" s="26"/>
      <c r="AL156" s="17">
        <f t="shared" si="30"/>
        <v>0</v>
      </c>
      <c r="AM156" s="26"/>
      <c r="AN156" s="26"/>
      <c r="AO156" s="26"/>
      <c r="AP156" s="26"/>
      <c r="AQ156" s="17">
        <f t="shared" si="32"/>
        <v>0</v>
      </c>
      <c r="AR156" s="26"/>
      <c r="AS156" s="26"/>
      <c r="AT156" s="26"/>
      <c r="AU156" s="26"/>
      <c r="AV156" s="17">
        <f t="shared" si="31"/>
        <v>0</v>
      </c>
      <c r="AW156" s="26"/>
      <c r="AX156" s="26"/>
      <c r="AY156" s="26"/>
      <c r="AZ156" s="26" t="s">
        <v>37</v>
      </c>
    </row>
    <row r="157" spans="1:52" s="68" customFormat="1" ht="14" customHeight="1" x14ac:dyDescent="0.15">
      <c r="A157" s="26" t="s">
        <v>287</v>
      </c>
      <c r="B157" s="28"/>
      <c r="C157" s="28"/>
      <c r="D157" s="26" t="s">
        <v>257</v>
      </c>
      <c r="E157" s="26" t="s">
        <v>252</v>
      </c>
      <c r="F157" s="26" t="s">
        <v>253</v>
      </c>
      <c r="G157" s="17" t="s">
        <v>288</v>
      </c>
      <c r="H157" s="26" t="s">
        <v>260</v>
      </c>
      <c r="I157" s="26" t="s">
        <v>37</v>
      </c>
      <c r="J157" s="45">
        <v>42566</v>
      </c>
      <c r="K157" s="26" t="s">
        <v>255</v>
      </c>
      <c r="L157" s="26" t="s">
        <v>37</v>
      </c>
      <c r="M157" s="26">
        <v>140</v>
      </c>
      <c r="N157" s="26" t="s">
        <v>37</v>
      </c>
      <c r="O157" s="26" t="s">
        <v>37</v>
      </c>
      <c r="P157" s="26">
        <v>2978</v>
      </c>
      <c r="Q157" s="26"/>
      <c r="R157" s="47">
        <v>45456.625</v>
      </c>
      <c r="S157" s="47">
        <v>45610.458333333336</v>
      </c>
      <c r="T157" s="27"/>
      <c r="U157" s="27"/>
      <c r="V157" s="27"/>
      <c r="W157" s="27"/>
      <c r="X157" s="27"/>
      <c r="Y157" s="27"/>
      <c r="Z157" s="27"/>
      <c r="AA157" s="26">
        <v>21.2</v>
      </c>
      <c r="AB157" s="26">
        <v>7</v>
      </c>
      <c r="AC157" s="43">
        <v>-10.4</v>
      </c>
      <c r="AD157" s="43">
        <v>-22.6</v>
      </c>
      <c r="AE157" s="43">
        <v>-9.6</v>
      </c>
      <c r="AF157" s="26">
        <v>71.5</v>
      </c>
      <c r="AG157" s="26">
        <v>-71.5</v>
      </c>
      <c r="AH157" s="29">
        <v>45610</v>
      </c>
      <c r="AI157" s="31">
        <v>0.41667824074074072</v>
      </c>
      <c r="AJ157" s="26"/>
      <c r="AK157" s="26"/>
      <c r="AL157" s="17">
        <f t="shared" si="30"/>
        <v>0</v>
      </c>
      <c r="AM157" s="26"/>
      <c r="AN157" s="26"/>
      <c r="AO157" s="26"/>
      <c r="AP157" s="26"/>
      <c r="AQ157" s="17">
        <f t="shared" si="32"/>
        <v>0</v>
      </c>
      <c r="AR157" s="26"/>
      <c r="AS157" s="26"/>
      <c r="AT157" s="26"/>
      <c r="AU157" s="26"/>
      <c r="AV157" s="17">
        <f t="shared" si="31"/>
        <v>0</v>
      </c>
      <c r="AW157" s="26"/>
      <c r="AX157" s="26"/>
      <c r="AY157" s="26"/>
      <c r="AZ157" s="26" t="s">
        <v>37</v>
      </c>
    </row>
    <row r="158" spans="1:52" ht="14" customHeight="1" x14ac:dyDescent="0.2">
      <c r="A158" s="8" t="s">
        <v>468</v>
      </c>
      <c r="B158" s="8">
        <v>46.705710000000003</v>
      </c>
      <c r="C158" s="8">
        <v>-71.063990000000004</v>
      </c>
      <c r="D158" s="8" t="s">
        <v>256</v>
      </c>
      <c r="E158" s="76" t="s">
        <v>252</v>
      </c>
      <c r="F158" s="8" t="s">
        <v>253</v>
      </c>
      <c r="G158" s="8" t="s">
        <v>397</v>
      </c>
      <c r="H158" s="8" t="s">
        <v>260</v>
      </c>
      <c r="I158" s="8" t="s">
        <v>526</v>
      </c>
      <c r="J158" s="56">
        <v>41362</v>
      </c>
      <c r="K158" s="8" t="s">
        <v>255</v>
      </c>
      <c r="L158" s="8">
        <v>80</v>
      </c>
      <c r="M158" s="8">
        <v>80</v>
      </c>
      <c r="N158" s="8">
        <v>1</v>
      </c>
      <c r="O158" s="8">
        <v>-800</v>
      </c>
      <c r="P158" s="8">
        <v>1650</v>
      </c>
      <c r="Q158" s="77" t="s">
        <v>462</v>
      </c>
      <c r="R158" s="57">
        <v>45780.708333333336</v>
      </c>
      <c r="S158" s="57">
        <v>45988.541678240741</v>
      </c>
      <c r="T158" s="8"/>
      <c r="U158" s="8"/>
      <c r="V158" s="8"/>
      <c r="W158" s="8"/>
      <c r="X158" s="8"/>
      <c r="Y158" s="8"/>
      <c r="Z158" s="8"/>
      <c r="AA158" s="75">
        <v>25.666666666666668</v>
      </c>
      <c r="AB158" s="75">
        <v>25.666666666666668</v>
      </c>
      <c r="AC158" s="42">
        <v>0</v>
      </c>
      <c r="AD158" s="42">
        <v>0</v>
      </c>
      <c r="AE158" s="42">
        <v>0</v>
      </c>
      <c r="AF158" s="8">
        <v>54.8</v>
      </c>
      <c r="AG158" s="8">
        <f t="shared" ref="AG158:AG178" si="33">AF158*-1</f>
        <v>-54.8</v>
      </c>
      <c r="AH158" s="59">
        <v>45868</v>
      </c>
      <c r="AI158" s="60">
        <v>0.60556712962962966</v>
      </c>
      <c r="AJ158" s="8" t="s">
        <v>63</v>
      </c>
      <c r="AK158" s="8">
        <v>78</v>
      </c>
      <c r="AL158" s="8">
        <f t="shared" si="30"/>
        <v>-78</v>
      </c>
      <c r="AM158" s="29">
        <v>45918</v>
      </c>
      <c r="AN158" s="60">
        <v>0.65277777777777779</v>
      </c>
      <c r="AO158" s="8" t="s">
        <v>69</v>
      </c>
      <c r="AP158" s="8">
        <v>45.5</v>
      </c>
      <c r="AQ158" s="8">
        <f t="shared" si="32"/>
        <v>-45.5</v>
      </c>
      <c r="AR158" s="59">
        <v>45988</v>
      </c>
      <c r="AS158" s="60">
        <v>0.58333333333333337</v>
      </c>
      <c r="AT158" s="8" t="s">
        <v>69</v>
      </c>
      <c r="AU158" s="8"/>
      <c r="AV158" s="8">
        <f t="shared" si="31"/>
        <v>0</v>
      </c>
      <c r="AW158" s="8"/>
      <c r="AX158" s="8"/>
      <c r="AY158" s="8"/>
      <c r="AZ158" s="8" t="s">
        <v>37</v>
      </c>
    </row>
    <row r="159" spans="1:52" ht="14" customHeight="1" x14ac:dyDescent="0.2">
      <c r="A159" s="8" t="s">
        <v>468</v>
      </c>
      <c r="B159" s="8">
        <v>46.705710000000003</v>
      </c>
      <c r="C159" s="8">
        <v>-71.063990000000004</v>
      </c>
      <c r="D159" s="8" t="s">
        <v>256</v>
      </c>
      <c r="E159" s="76" t="s">
        <v>252</v>
      </c>
      <c r="F159" s="8" t="s">
        <v>253</v>
      </c>
      <c r="G159" s="8" t="s">
        <v>397</v>
      </c>
      <c r="H159" s="8" t="s">
        <v>260</v>
      </c>
      <c r="I159" s="8" t="s">
        <v>526</v>
      </c>
      <c r="J159" s="56">
        <v>41362</v>
      </c>
      <c r="K159" s="8" t="s">
        <v>255</v>
      </c>
      <c r="L159" s="8">
        <v>20</v>
      </c>
      <c r="M159" s="8">
        <v>80</v>
      </c>
      <c r="N159" s="8">
        <v>2</v>
      </c>
      <c r="O159" s="8">
        <v>-200</v>
      </c>
      <c r="P159" s="8">
        <v>2742</v>
      </c>
      <c r="Q159" s="8"/>
      <c r="R159" s="57">
        <v>45780.708333333336</v>
      </c>
      <c r="S159" s="57">
        <v>45988.541678240741</v>
      </c>
      <c r="T159" s="8"/>
      <c r="U159" s="8"/>
      <c r="V159" s="8"/>
      <c r="W159" s="8"/>
      <c r="X159" s="8"/>
      <c r="Y159" s="8"/>
      <c r="Z159" s="8"/>
      <c r="AA159" s="75">
        <v>25.666666666666668</v>
      </c>
      <c r="AB159" s="75">
        <v>25.666666666666668</v>
      </c>
      <c r="AC159" s="42">
        <v>0</v>
      </c>
      <c r="AD159" s="42">
        <v>0</v>
      </c>
      <c r="AE159" s="42">
        <v>0</v>
      </c>
      <c r="AF159" s="8">
        <v>54.8</v>
      </c>
      <c r="AG159" s="8">
        <f t="shared" si="33"/>
        <v>-54.8</v>
      </c>
      <c r="AH159" s="59">
        <v>45868</v>
      </c>
      <c r="AI159" s="60">
        <v>0.60556712962962966</v>
      </c>
      <c r="AJ159" s="8" t="s">
        <v>63</v>
      </c>
      <c r="AK159" s="8">
        <v>78</v>
      </c>
      <c r="AL159" s="8">
        <f t="shared" si="30"/>
        <v>-78</v>
      </c>
      <c r="AM159" s="29">
        <v>45918</v>
      </c>
      <c r="AN159" s="60">
        <v>0.65277777777777779</v>
      </c>
      <c r="AO159" s="8" t="s">
        <v>69</v>
      </c>
      <c r="AP159" s="8">
        <v>45.5</v>
      </c>
      <c r="AQ159" s="8">
        <f t="shared" si="32"/>
        <v>-45.5</v>
      </c>
      <c r="AR159" s="59">
        <v>45988</v>
      </c>
      <c r="AS159" s="60">
        <v>0.58333333333333337</v>
      </c>
      <c r="AT159" s="8" t="s">
        <v>69</v>
      </c>
      <c r="AU159" s="8"/>
      <c r="AV159" s="8">
        <f t="shared" si="31"/>
        <v>0</v>
      </c>
      <c r="AW159" s="8"/>
      <c r="AX159" s="8"/>
      <c r="AY159" s="8"/>
      <c r="AZ159" s="8" t="s">
        <v>37</v>
      </c>
    </row>
    <row r="160" spans="1:52" ht="15" customHeight="1" x14ac:dyDescent="0.2">
      <c r="A160" s="8" t="s">
        <v>468</v>
      </c>
      <c r="B160" s="61">
        <v>46.705710000000003</v>
      </c>
      <c r="C160" s="8">
        <v>-71.063990000000004</v>
      </c>
      <c r="D160" s="8" t="s">
        <v>257</v>
      </c>
      <c r="E160" s="76" t="s">
        <v>252</v>
      </c>
      <c r="F160" s="8" t="s">
        <v>253</v>
      </c>
      <c r="G160" s="8" t="s">
        <v>397</v>
      </c>
      <c r="H160" s="8" t="s">
        <v>260</v>
      </c>
      <c r="I160" s="8" t="s">
        <v>526</v>
      </c>
      <c r="J160" s="56">
        <v>41362</v>
      </c>
      <c r="K160" s="8" t="s">
        <v>255</v>
      </c>
      <c r="L160" s="8"/>
      <c r="M160" s="8">
        <v>80</v>
      </c>
      <c r="N160" s="8" t="s">
        <v>37</v>
      </c>
      <c r="O160" s="8" t="s">
        <v>37</v>
      </c>
      <c r="P160" s="8"/>
      <c r="Q160" s="8"/>
      <c r="R160" s="57">
        <v>45780.708333333336</v>
      </c>
      <c r="S160" s="57">
        <v>45988.541678240741</v>
      </c>
      <c r="T160" s="8"/>
      <c r="U160" s="8"/>
      <c r="V160" s="8"/>
      <c r="W160" s="8"/>
      <c r="X160" s="8"/>
      <c r="Y160" s="8"/>
      <c r="Z160" s="8"/>
      <c r="AA160" s="75">
        <v>25.666666666666668</v>
      </c>
      <c r="AB160" s="75">
        <v>25.666666666666668</v>
      </c>
      <c r="AC160" s="42">
        <v>0</v>
      </c>
      <c r="AD160" s="42">
        <v>0</v>
      </c>
      <c r="AE160" s="42">
        <v>0</v>
      </c>
      <c r="AF160" s="8">
        <v>54.8</v>
      </c>
      <c r="AG160" s="8">
        <f t="shared" si="33"/>
        <v>-54.8</v>
      </c>
      <c r="AH160" s="59">
        <v>45868</v>
      </c>
      <c r="AI160" s="60">
        <v>0.60556712962962966</v>
      </c>
      <c r="AJ160" s="8" t="s">
        <v>63</v>
      </c>
      <c r="AK160" s="8">
        <v>78</v>
      </c>
      <c r="AL160" s="8">
        <f t="shared" si="30"/>
        <v>-78</v>
      </c>
      <c r="AM160" s="29">
        <v>45918</v>
      </c>
      <c r="AN160" s="60">
        <v>0.65277777777777779</v>
      </c>
      <c r="AO160" s="8" t="s">
        <v>69</v>
      </c>
      <c r="AP160" s="8">
        <v>45.5</v>
      </c>
      <c r="AQ160" s="8">
        <f t="shared" si="32"/>
        <v>-45.5</v>
      </c>
      <c r="AR160" s="59">
        <v>45988</v>
      </c>
      <c r="AS160" s="60">
        <v>0.58333333333333337</v>
      </c>
      <c r="AT160" s="8" t="s">
        <v>69</v>
      </c>
      <c r="AU160" s="8"/>
      <c r="AV160" s="8">
        <f t="shared" si="31"/>
        <v>0</v>
      </c>
      <c r="AW160" s="8"/>
      <c r="AX160" s="8"/>
      <c r="AY160" s="8"/>
      <c r="AZ160" s="8" t="s">
        <v>37</v>
      </c>
    </row>
    <row r="161" spans="1:52" ht="14" customHeight="1" x14ac:dyDescent="0.2">
      <c r="A161" s="8" t="s">
        <v>464</v>
      </c>
      <c r="B161" s="8">
        <v>46.706060000000001</v>
      </c>
      <c r="C161" s="8">
        <v>-71.064319999999995</v>
      </c>
      <c r="D161" s="8" t="s">
        <v>256</v>
      </c>
      <c r="E161" s="26" t="s">
        <v>252</v>
      </c>
      <c r="F161" s="8" t="s">
        <v>253</v>
      </c>
      <c r="G161" s="8" t="s">
        <v>412</v>
      </c>
      <c r="H161" s="8" t="s">
        <v>251</v>
      </c>
      <c r="I161" s="8" t="s">
        <v>471</v>
      </c>
      <c r="J161" s="56">
        <v>41374</v>
      </c>
      <c r="K161" s="8" t="s">
        <v>255</v>
      </c>
      <c r="L161" s="8">
        <v>80</v>
      </c>
      <c r="M161" s="8">
        <v>80</v>
      </c>
      <c r="N161" s="8">
        <v>1</v>
      </c>
      <c r="O161" s="8">
        <v>-800</v>
      </c>
      <c r="P161" s="8">
        <v>1756</v>
      </c>
      <c r="Q161" s="8" t="s">
        <v>417</v>
      </c>
      <c r="R161" s="57">
        <v>45780.708333333336</v>
      </c>
      <c r="S161" s="57">
        <v>45868.375011574077</v>
      </c>
      <c r="T161" s="8"/>
      <c r="U161" s="8"/>
      <c r="V161" s="8"/>
      <c r="W161" s="8"/>
      <c r="X161" s="8"/>
      <c r="Y161" s="8"/>
      <c r="Z161" s="8"/>
      <c r="AA161" s="58">
        <v>14</v>
      </c>
      <c r="AB161" s="58">
        <v>14</v>
      </c>
      <c r="AC161" s="42">
        <v>0</v>
      </c>
      <c r="AD161" s="42">
        <v>0</v>
      </c>
      <c r="AE161" s="42">
        <v>0</v>
      </c>
      <c r="AF161" s="8">
        <v>50.5</v>
      </c>
      <c r="AG161" s="8">
        <f t="shared" si="33"/>
        <v>-50.5</v>
      </c>
      <c r="AH161" s="59">
        <v>45868</v>
      </c>
      <c r="AI161" s="60">
        <v>0.40487268518518515</v>
      </c>
      <c r="AJ161" s="8" t="s">
        <v>63</v>
      </c>
      <c r="AK161" s="8"/>
      <c r="AL161" s="8">
        <f t="shared" si="30"/>
        <v>0</v>
      </c>
      <c r="AM161" s="8"/>
      <c r="AN161" s="8"/>
      <c r="AO161" s="8"/>
      <c r="AP161" s="8"/>
      <c r="AQ161" s="8">
        <f t="shared" si="32"/>
        <v>0</v>
      </c>
      <c r="AR161" s="8"/>
      <c r="AS161" s="8"/>
      <c r="AT161" s="8"/>
      <c r="AU161" s="8"/>
      <c r="AV161" s="8">
        <f t="shared" si="31"/>
        <v>0</v>
      </c>
      <c r="AW161" s="8"/>
      <c r="AX161" s="8"/>
      <c r="AY161" s="8"/>
      <c r="AZ161" s="8" t="s">
        <v>37</v>
      </c>
    </row>
    <row r="162" spans="1:52" ht="14" customHeight="1" x14ac:dyDescent="0.2">
      <c r="A162" s="8" t="s">
        <v>464</v>
      </c>
      <c r="B162" s="8">
        <v>46.706060000000001</v>
      </c>
      <c r="C162" s="8">
        <v>-71.064319999999995</v>
      </c>
      <c r="D162" s="8" t="s">
        <v>465</v>
      </c>
      <c r="E162" s="26" t="s">
        <v>252</v>
      </c>
      <c r="F162" s="8" t="s">
        <v>253</v>
      </c>
      <c r="G162" s="8" t="s">
        <v>412</v>
      </c>
      <c r="H162" s="8" t="s">
        <v>251</v>
      </c>
      <c r="I162" s="8" t="s">
        <v>471</v>
      </c>
      <c r="J162" s="56">
        <v>41374</v>
      </c>
      <c r="K162" s="8" t="s">
        <v>255</v>
      </c>
      <c r="L162" s="8">
        <v>20</v>
      </c>
      <c r="M162" s="8">
        <v>80</v>
      </c>
      <c r="N162" s="8">
        <v>2</v>
      </c>
      <c r="O162" s="8">
        <v>-200</v>
      </c>
      <c r="P162" s="8">
        <v>2964</v>
      </c>
      <c r="Q162" s="8" t="s">
        <v>417</v>
      </c>
      <c r="R162" s="57">
        <v>45780.708333333336</v>
      </c>
      <c r="S162" s="57">
        <v>45868.375011574077</v>
      </c>
      <c r="T162" s="8"/>
      <c r="U162" s="8"/>
      <c r="V162" s="8"/>
      <c r="W162" s="8"/>
      <c r="X162" s="8"/>
      <c r="Y162" s="8"/>
      <c r="Z162" s="8"/>
      <c r="AA162" s="58">
        <v>14</v>
      </c>
      <c r="AB162" s="58">
        <v>14</v>
      </c>
      <c r="AC162" s="42">
        <v>0</v>
      </c>
      <c r="AD162" s="42">
        <v>0</v>
      </c>
      <c r="AE162" s="42">
        <v>0</v>
      </c>
      <c r="AF162" s="8">
        <v>50.5</v>
      </c>
      <c r="AG162" s="8">
        <f t="shared" si="33"/>
        <v>-50.5</v>
      </c>
      <c r="AH162" s="59">
        <v>45868</v>
      </c>
      <c r="AI162" s="60">
        <v>0.40487268518518515</v>
      </c>
      <c r="AJ162" s="8" t="s">
        <v>63</v>
      </c>
      <c r="AK162" s="8"/>
      <c r="AL162" s="8">
        <f t="shared" si="30"/>
        <v>0</v>
      </c>
      <c r="AM162" s="8"/>
      <c r="AN162" s="8"/>
      <c r="AO162" s="8"/>
      <c r="AP162" s="8"/>
      <c r="AQ162" s="8">
        <f t="shared" si="32"/>
        <v>0</v>
      </c>
      <c r="AR162" s="8"/>
      <c r="AS162" s="8"/>
      <c r="AT162" s="8"/>
      <c r="AU162" s="8"/>
      <c r="AV162" s="8">
        <f t="shared" si="31"/>
        <v>0</v>
      </c>
      <c r="AW162" s="8"/>
      <c r="AX162" s="8"/>
      <c r="AY162" s="8"/>
      <c r="AZ162" s="8" t="s">
        <v>37</v>
      </c>
    </row>
    <row r="163" spans="1:52" ht="15" customHeight="1" x14ac:dyDescent="0.2">
      <c r="A163" s="8" t="s">
        <v>464</v>
      </c>
      <c r="B163" s="8">
        <v>46.706060000000001</v>
      </c>
      <c r="C163" s="8">
        <v>-71.064319999999995</v>
      </c>
      <c r="D163" s="8" t="s">
        <v>257</v>
      </c>
      <c r="E163" s="26" t="s">
        <v>252</v>
      </c>
      <c r="F163" s="8" t="s">
        <v>253</v>
      </c>
      <c r="G163" s="8" t="s">
        <v>412</v>
      </c>
      <c r="H163" s="8" t="s">
        <v>251</v>
      </c>
      <c r="I163" s="8" t="s">
        <v>471</v>
      </c>
      <c r="J163" s="56">
        <v>41374</v>
      </c>
      <c r="K163" s="8" t="s">
        <v>255</v>
      </c>
      <c r="L163" s="8"/>
      <c r="M163" s="8">
        <v>80</v>
      </c>
      <c r="N163" s="8" t="s">
        <v>37</v>
      </c>
      <c r="O163" s="8" t="s">
        <v>37</v>
      </c>
      <c r="P163" s="8"/>
      <c r="Q163" s="8" t="s">
        <v>417</v>
      </c>
      <c r="R163" s="57">
        <v>45780.708333333336</v>
      </c>
      <c r="S163" s="57">
        <v>45868.375011574077</v>
      </c>
      <c r="T163" s="8"/>
      <c r="U163" s="8"/>
      <c r="V163" s="8"/>
      <c r="W163" s="8"/>
      <c r="X163" s="8"/>
      <c r="Y163" s="8"/>
      <c r="Z163" s="8"/>
      <c r="AA163" s="58">
        <v>14</v>
      </c>
      <c r="AB163" s="58">
        <v>14</v>
      </c>
      <c r="AC163" s="42">
        <v>0</v>
      </c>
      <c r="AD163" s="42">
        <v>0</v>
      </c>
      <c r="AE163" s="42">
        <v>0</v>
      </c>
      <c r="AF163" s="8">
        <v>50.5</v>
      </c>
      <c r="AG163" s="8">
        <f t="shared" si="33"/>
        <v>-50.5</v>
      </c>
      <c r="AH163" s="59">
        <v>45868</v>
      </c>
      <c r="AI163" s="60">
        <v>0.40487268518518515</v>
      </c>
      <c r="AJ163" s="8" t="s">
        <v>63</v>
      </c>
      <c r="AK163" s="8"/>
      <c r="AL163" s="8">
        <f t="shared" si="30"/>
        <v>0</v>
      </c>
      <c r="AM163" s="8"/>
      <c r="AN163" s="8"/>
      <c r="AO163" s="8"/>
      <c r="AP163" s="8"/>
      <c r="AQ163" s="8">
        <f t="shared" si="32"/>
        <v>0</v>
      </c>
      <c r="AR163" s="8"/>
      <c r="AS163" s="8"/>
      <c r="AT163" s="8"/>
      <c r="AU163" s="8"/>
      <c r="AV163" s="8">
        <f t="shared" si="31"/>
        <v>0</v>
      </c>
      <c r="AW163" s="8"/>
      <c r="AX163" s="8"/>
      <c r="AY163" s="8"/>
      <c r="AZ163" s="8" t="s">
        <v>37</v>
      </c>
    </row>
    <row r="164" spans="1:52" ht="14" customHeight="1" x14ac:dyDescent="0.2">
      <c r="A164" s="8" t="s">
        <v>464</v>
      </c>
      <c r="B164" s="8">
        <v>46.706060000000001</v>
      </c>
      <c r="C164" s="8">
        <v>-71.064319999999995</v>
      </c>
      <c r="D164" s="8" t="s">
        <v>256</v>
      </c>
      <c r="E164" s="26" t="s">
        <v>252</v>
      </c>
      <c r="F164" s="8" t="s">
        <v>253</v>
      </c>
      <c r="G164" s="8" t="s">
        <v>412</v>
      </c>
      <c r="H164" s="8" t="s">
        <v>251</v>
      </c>
      <c r="I164" s="8" t="s">
        <v>471</v>
      </c>
      <c r="J164" s="56">
        <v>41374</v>
      </c>
      <c r="K164" s="8" t="s">
        <v>255</v>
      </c>
      <c r="L164" s="8">
        <v>80</v>
      </c>
      <c r="M164" s="8">
        <v>80</v>
      </c>
      <c r="N164" s="8">
        <v>1</v>
      </c>
      <c r="O164" s="8">
        <v>-800</v>
      </c>
      <c r="P164" s="8">
        <v>1756</v>
      </c>
      <c r="Q164" s="8" t="s">
        <v>417</v>
      </c>
      <c r="R164" s="57">
        <v>45868.458344907405</v>
      </c>
      <c r="S164" s="57">
        <v>45988.416678240741</v>
      </c>
      <c r="T164" s="8"/>
      <c r="U164" s="8"/>
      <c r="V164" s="8"/>
      <c r="W164" s="8"/>
      <c r="X164" s="8"/>
      <c r="Y164" s="8"/>
      <c r="Z164" s="8"/>
      <c r="AA164" s="58">
        <v>23.5</v>
      </c>
      <c r="AB164" s="58">
        <v>23.5</v>
      </c>
      <c r="AC164" s="42">
        <v>0</v>
      </c>
      <c r="AD164" s="42">
        <v>0</v>
      </c>
      <c r="AE164" s="42">
        <v>0</v>
      </c>
      <c r="AF164" s="8">
        <v>50.5</v>
      </c>
      <c r="AG164" s="8">
        <f t="shared" si="33"/>
        <v>-50.5</v>
      </c>
      <c r="AH164" s="59">
        <v>45868</v>
      </c>
      <c r="AI164" s="60">
        <v>0.40487268518518515</v>
      </c>
      <c r="AJ164" s="8" t="s">
        <v>63</v>
      </c>
      <c r="AK164" s="8">
        <v>85.5</v>
      </c>
      <c r="AL164" s="8">
        <f t="shared" si="30"/>
        <v>-85.5</v>
      </c>
      <c r="AM164" s="29">
        <v>45918</v>
      </c>
      <c r="AN164" s="60">
        <v>0.63541666666666663</v>
      </c>
      <c r="AO164" s="8" t="s">
        <v>69</v>
      </c>
      <c r="AP164" s="8">
        <v>82</v>
      </c>
      <c r="AQ164" s="8">
        <f t="shared" si="32"/>
        <v>-82</v>
      </c>
      <c r="AR164" s="59">
        <v>45946</v>
      </c>
      <c r="AS164" s="60">
        <v>0.46666666666666662</v>
      </c>
      <c r="AT164" s="8" t="s">
        <v>69</v>
      </c>
      <c r="AU164" s="8">
        <v>42.75</v>
      </c>
      <c r="AV164" s="8">
        <f t="shared" si="31"/>
        <v>-42.75</v>
      </c>
      <c r="AW164" s="59">
        <v>45988</v>
      </c>
      <c r="AX164" s="60">
        <v>0.44444444444444442</v>
      </c>
      <c r="AY164" s="8" t="s">
        <v>69</v>
      </c>
      <c r="AZ164" s="8" t="s">
        <v>37</v>
      </c>
    </row>
    <row r="165" spans="1:52" ht="14" customHeight="1" x14ac:dyDescent="0.2">
      <c r="A165" s="8" t="s">
        <v>464</v>
      </c>
      <c r="B165" s="8">
        <v>46.706060000000001</v>
      </c>
      <c r="C165" s="8">
        <v>-71.064319999999995</v>
      </c>
      <c r="D165" s="8" t="s">
        <v>256</v>
      </c>
      <c r="E165" s="26" t="s">
        <v>252</v>
      </c>
      <c r="F165" s="8" t="s">
        <v>253</v>
      </c>
      <c r="G165" s="8" t="s">
        <v>412</v>
      </c>
      <c r="H165" s="8" t="s">
        <v>251</v>
      </c>
      <c r="I165" s="8" t="s">
        <v>471</v>
      </c>
      <c r="J165" s="56">
        <v>41374</v>
      </c>
      <c r="K165" s="8" t="s">
        <v>255</v>
      </c>
      <c r="L165" s="8">
        <v>20</v>
      </c>
      <c r="M165" s="8">
        <v>80</v>
      </c>
      <c r="N165" s="8">
        <v>2</v>
      </c>
      <c r="O165" s="8">
        <v>-200</v>
      </c>
      <c r="P165" s="8">
        <v>2964</v>
      </c>
      <c r="Q165" s="8" t="s">
        <v>417</v>
      </c>
      <c r="R165" s="57">
        <v>45868.458344907405</v>
      </c>
      <c r="S165" s="57">
        <v>45988.416678240741</v>
      </c>
      <c r="T165" s="8"/>
      <c r="U165" s="8"/>
      <c r="V165" s="8"/>
      <c r="W165" s="8"/>
      <c r="X165" s="8"/>
      <c r="Y165" s="8"/>
      <c r="Z165" s="8"/>
      <c r="AA165" s="58">
        <v>23.5</v>
      </c>
      <c r="AB165" s="58">
        <v>23.5</v>
      </c>
      <c r="AC165" s="42">
        <v>0</v>
      </c>
      <c r="AD165" s="42">
        <v>0</v>
      </c>
      <c r="AE165" s="42">
        <v>0</v>
      </c>
      <c r="AF165" s="8">
        <v>50.5</v>
      </c>
      <c r="AG165" s="8">
        <f t="shared" si="33"/>
        <v>-50.5</v>
      </c>
      <c r="AH165" s="59">
        <v>45868</v>
      </c>
      <c r="AI165" s="60">
        <v>0.40487268518518515</v>
      </c>
      <c r="AJ165" s="8" t="s">
        <v>63</v>
      </c>
      <c r="AK165" s="8">
        <v>85.5</v>
      </c>
      <c r="AL165" s="8">
        <f t="shared" si="30"/>
        <v>-85.5</v>
      </c>
      <c r="AM165" s="29">
        <v>45918</v>
      </c>
      <c r="AN165" s="60">
        <v>0.63541666666666663</v>
      </c>
      <c r="AO165" s="8" t="s">
        <v>69</v>
      </c>
      <c r="AP165" s="8">
        <v>82</v>
      </c>
      <c r="AQ165" s="8">
        <f t="shared" si="32"/>
        <v>-82</v>
      </c>
      <c r="AR165" s="59">
        <v>45946</v>
      </c>
      <c r="AS165" s="60">
        <v>0.46666666666666662</v>
      </c>
      <c r="AT165" s="8" t="s">
        <v>69</v>
      </c>
      <c r="AU165" s="8">
        <v>42.75</v>
      </c>
      <c r="AV165" s="8">
        <f t="shared" si="31"/>
        <v>-42.75</v>
      </c>
      <c r="AW165" s="59">
        <v>45988</v>
      </c>
      <c r="AX165" s="60">
        <v>0.44444444444444442</v>
      </c>
      <c r="AY165" s="8" t="s">
        <v>69</v>
      </c>
      <c r="AZ165" s="8" t="s">
        <v>37</v>
      </c>
    </row>
    <row r="166" spans="1:52" ht="14" customHeight="1" x14ac:dyDescent="0.2">
      <c r="A166" s="8" t="s">
        <v>464</v>
      </c>
      <c r="B166" s="8">
        <v>46.706060000000001</v>
      </c>
      <c r="C166" s="8">
        <v>-71.064319999999995</v>
      </c>
      <c r="D166" s="8" t="s">
        <v>257</v>
      </c>
      <c r="E166" s="26" t="s">
        <v>252</v>
      </c>
      <c r="F166" s="8" t="s">
        <v>253</v>
      </c>
      <c r="G166" s="8" t="s">
        <v>412</v>
      </c>
      <c r="H166" s="8" t="s">
        <v>251</v>
      </c>
      <c r="I166" s="8" t="s">
        <v>471</v>
      </c>
      <c r="J166" s="56">
        <v>41374</v>
      </c>
      <c r="K166" s="8" t="s">
        <v>255</v>
      </c>
      <c r="L166" s="8"/>
      <c r="M166" s="8">
        <v>80</v>
      </c>
      <c r="N166" s="8" t="s">
        <v>37</v>
      </c>
      <c r="O166" s="8" t="s">
        <v>37</v>
      </c>
      <c r="P166" s="8"/>
      <c r="Q166" s="8" t="s">
        <v>417</v>
      </c>
      <c r="R166" s="57">
        <v>45868.458344907405</v>
      </c>
      <c r="S166" s="57">
        <v>45988.416678240741</v>
      </c>
      <c r="T166" s="8"/>
      <c r="U166" s="8"/>
      <c r="V166" s="8"/>
      <c r="W166" s="8"/>
      <c r="X166" s="8"/>
      <c r="Y166" s="8"/>
      <c r="Z166" s="8"/>
      <c r="AA166" s="58">
        <v>23.5</v>
      </c>
      <c r="AB166" s="58">
        <v>23.5</v>
      </c>
      <c r="AC166" s="42">
        <v>0</v>
      </c>
      <c r="AD166" s="42">
        <v>0</v>
      </c>
      <c r="AE166" s="42">
        <v>0</v>
      </c>
      <c r="AF166" s="8">
        <v>50.5</v>
      </c>
      <c r="AG166" s="8">
        <f t="shared" si="33"/>
        <v>-50.5</v>
      </c>
      <c r="AH166" s="59">
        <v>45868</v>
      </c>
      <c r="AI166" s="60">
        <v>0.40487268518518515</v>
      </c>
      <c r="AJ166" s="8" t="s">
        <v>63</v>
      </c>
      <c r="AK166" s="8">
        <v>85.5</v>
      </c>
      <c r="AL166" s="8">
        <f t="shared" si="30"/>
        <v>-85.5</v>
      </c>
      <c r="AM166" s="29">
        <v>45918</v>
      </c>
      <c r="AN166" s="60">
        <v>0.63541666666666663</v>
      </c>
      <c r="AO166" s="8" t="s">
        <v>69</v>
      </c>
      <c r="AP166" s="8">
        <v>82</v>
      </c>
      <c r="AQ166" s="8">
        <f t="shared" si="32"/>
        <v>-82</v>
      </c>
      <c r="AR166" s="59">
        <v>45946</v>
      </c>
      <c r="AS166" s="60">
        <v>0.46666666666666662</v>
      </c>
      <c r="AT166" s="8" t="s">
        <v>69</v>
      </c>
      <c r="AU166" s="8">
        <v>42.75</v>
      </c>
      <c r="AV166" s="8">
        <f t="shared" si="31"/>
        <v>-42.75</v>
      </c>
      <c r="AW166" s="59">
        <v>45988</v>
      </c>
      <c r="AX166" s="60">
        <v>0.44444444444444442</v>
      </c>
      <c r="AY166" s="8" t="s">
        <v>69</v>
      </c>
      <c r="AZ166" s="8" t="s">
        <v>37</v>
      </c>
    </row>
    <row r="167" spans="1:52" ht="15" customHeight="1" x14ac:dyDescent="0.2">
      <c r="A167" s="8" t="s">
        <v>479</v>
      </c>
      <c r="B167" s="8">
        <v>46.705889999999997</v>
      </c>
      <c r="C167" s="8">
        <v>-71.063689999999994</v>
      </c>
      <c r="D167" s="8" t="s">
        <v>256</v>
      </c>
      <c r="E167" s="26" t="s">
        <v>252</v>
      </c>
      <c r="F167" s="8" t="s">
        <v>253</v>
      </c>
      <c r="G167" s="8" t="s">
        <v>259</v>
      </c>
      <c r="H167" s="8" t="s">
        <v>260</v>
      </c>
      <c r="I167" s="8"/>
      <c r="J167" s="56">
        <v>41387</v>
      </c>
      <c r="K167" s="8" t="s">
        <v>255</v>
      </c>
      <c r="L167" s="8">
        <v>80</v>
      </c>
      <c r="M167" s="8">
        <v>80</v>
      </c>
      <c r="N167" s="8">
        <v>1</v>
      </c>
      <c r="O167" s="8">
        <v>-800</v>
      </c>
      <c r="P167" s="8">
        <v>1645</v>
      </c>
      <c r="Q167" s="8" t="s">
        <v>480</v>
      </c>
      <c r="R167" s="57">
        <v>45780.708333333336</v>
      </c>
      <c r="S167" s="57">
        <v>45988.416678240741</v>
      </c>
      <c r="T167" s="8"/>
      <c r="U167" s="8"/>
      <c r="V167" s="8"/>
      <c r="W167" s="8"/>
      <c r="X167" s="8"/>
      <c r="Y167" s="8"/>
      <c r="Z167" s="8"/>
      <c r="AA167" s="58">
        <v>23.2</v>
      </c>
      <c r="AB167" s="58">
        <v>23.2</v>
      </c>
      <c r="AC167" s="42">
        <v>0</v>
      </c>
      <c r="AD167" s="42">
        <v>0</v>
      </c>
      <c r="AE167" s="42">
        <v>0</v>
      </c>
      <c r="AF167" s="8">
        <v>24.3</v>
      </c>
      <c r="AG167" s="8">
        <f t="shared" si="33"/>
        <v>-24.3</v>
      </c>
      <c r="AH167" s="59">
        <v>45868</v>
      </c>
      <c r="AI167" s="60">
        <v>0.62292824074074071</v>
      </c>
      <c r="AJ167" s="8" t="s">
        <v>63</v>
      </c>
      <c r="AK167" s="26">
        <v>35.5</v>
      </c>
      <c r="AL167" s="26">
        <f t="shared" si="30"/>
        <v>-35.5</v>
      </c>
      <c r="AM167" s="29">
        <v>45918</v>
      </c>
      <c r="AN167" s="60">
        <v>0.65277777777777779</v>
      </c>
      <c r="AO167" s="8" t="s">
        <v>69</v>
      </c>
      <c r="AP167" s="8">
        <v>33</v>
      </c>
      <c r="AQ167" s="8">
        <f t="shared" si="32"/>
        <v>-33</v>
      </c>
      <c r="AR167" s="59">
        <v>45946</v>
      </c>
      <c r="AS167" s="60">
        <v>0.50624999999999998</v>
      </c>
      <c r="AT167" s="8" t="s">
        <v>69</v>
      </c>
      <c r="AU167" s="8">
        <v>24</v>
      </c>
      <c r="AV167" s="8">
        <f t="shared" si="31"/>
        <v>-24</v>
      </c>
      <c r="AW167" s="59">
        <v>45988</v>
      </c>
      <c r="AX167" s="60">
        <v>0.47222222222222221</v>
      </c>
      <c r="AY167" s="8" t="s">
        <v>69</v>
      </c>
      <c r="AZ167" s="8" t="s">
        <v>37</v>
      </c>
    </row>
    <row r="168" spans="1:52" ht="14" customHeight="1" x14ac:dyDescent="0.2">
      <c r="A168" s="8" t="s">
        <v>479</v>
      </c>
      <c r="B168" s="8">
        <v>46.705889999999997</v>
      </c>
      <c r="C168" s="8">
        <v>-71.063689999999994</v>
      </c>
      <c r="D168" s="8" t="s">
        <v>256</v>
      </c>
      <c r="E168" s="26" t="s">
        <v>252</v>
      </c>
      <c r="F168" s="8" t="s">
        <v>253</v>
      </c>
      <c r="G168" s="8" t="s">
        <v>259</v>
      </c>
      <c r="H168" s="8" t="s">
        <v>260</v>
      </c>
      <c r="I168" s="8"/>
      <c r="J168" s="56">
        <v>41387</v>
      </c>
      <c r="K168" s="8" t="s">
        <v>255</v>
      </c>
      <c r="L168" s="8">
        <v>20</v>
      </c>
      <c r="M168" s="8">
        <v>80</v>
      </c>
      <c r="N168" s="8">
        <v>2</v>
      </c>
      <c r="O168" s="8">
        <v>-200</v>
      </c>
      <c r="P168" s="8">
        <v>2755</v>
      </c>
      <c r="Q168" s="8"/>
      <c r="R168" s="57">
        <v>45780.708333333336</v>
      </c>
      <c r="S168" s="57">
        <v>45988.416678240741</v>
      </c>
      <c r="T168" s="8"/>
      <c r="U168" s="8"/>
      <c r="V168" s="8"/>
      <c r="W168" s="8"/>
      <c r="X168" s="8"/>
      <c r="Y168" s="8"/>
      <c r="Z168" s="8"/>
      <c r="AA168" s="58">
        <v>23.2</v>
      </c>
      <c r="AB168" s="58">
        <v>23.2</v>
      </c>
      <c r="AC168" s="42">
        <v>0</v>
      </c>
      <c r="AD168" s="42">
        <v>0</v>
      </c>
      <c r="AE168" s="42">
        <v>0</v>
      </c>
      <c r="AF168" s="8">
        <v>24.3</v>
      </c>
      <c r="AG168" s="8">
        <f t="shared" si="33"/>
        <v>-24.3</v>
      </c>
      <c r="AH168" s="59">
        <v>45868</v>
      </c>
      <c r="AI168" s="60">
        <v>0.62292824074074071</v>
      </c>
      <c r="AJ168" s="8" t="s">
        <v>63</v>
      </c>
      <c r="AK168" s="26">
        <v>35.5</v>
      </c>
      <c r="AL168" s="26">
        <f t="shared" si="30"/>
        <v>-35.5</v>
      </c>
      <c r="AM168" s="29">
        <v>45918</v>
      </c>
      <c r="AN168" s="60">
        <v>0.65277777777777779</v>
      </c>
      <c r="AO168" s="8" t="s">
        <v>69</v>
      </c>
      <c r="AP168" s="8">
        <v>33</v>
      </c>
      <c r="AQ168" s="8">
        <f t="shared" si="32"/>
        <v>-33</v>
      </c>
      <c r="AR168" s="59">
        <v>45946</v>
      </c>
      <c r="AS168" s="60">
        <v>0.50624999999999998</v>
      </c>
      <c r="AT168" s="8" t="s">
        <v>69</v>
      </c>
      <c r="AU168" s="8">
        <v>24</v>
      </c>
      <c r="AV168" s="8">
        <f t="shared" si="31"/>
        <v>-24</v>
      </c>
      <c r="AW168" s="59">
        <v>45988</v>
      </c>
      <c r="AX168" s="60">
        <v>0.47222222222222221</v>
      </c>
      <c r="AY168" s="8" t="s">
        <v>69</v>
      </c>
      <c r="AZ168" s="8" t="s">
        <v>37</v>
      </c>
    </row>
    <row r="169" spans="1:52" ht="14" customHeight="1" x14ac:dyDescent="0.2">
      <c r="A169" s="8" t="s">
        <v>479</v>
      </c>
      <c r="B169" s="8">
        <v>46.705889999999997</v>
      </c>
      <c r="C169" s="8">
        <v>-71.063689999999994</v>
      </c>
      <c r="D169" s="8" t="s">
        <v>257</v>
      </c>
      <c r="E169" s="26" t="s">
        <v>252</v>
      </c>
      <c r="F169" s="8" t="s">
        <v>253</v>
      </c>
      <c r="G169" s="8" t="s">
        <v>259</v>
      </c>
      <c r="H169" s="8" t="s">
        <v>260</v>
      </c>
      <c r="I169" s="8"/>
      <c r="J169" s="56">
        <v>41387</v>
      </c>
      <c r="K169" s="8" t="s">
        <v>255</v>
      </c>
      <c r="L169" s="8"/>
      <c r="M169" s="8">
        <v>80</v>
      </c>
      <c r="N169" s="8" t="s">
        <v>37</v>
      </c>
      <c r="O169" s="8" t="s">
        <v>37</v>
      </c>
      <c r="P169" s="8"/>
      <c r="Q169" s="8"/>
      <c r="R169" s="57">
        <v>45780.708333333336</v>
      </c>
      <c r="S169" s="57">
        <v>45988.416678240741</v>
      </c>
      <c r="T169" s="8"/>
      <c r="U169" s="8"/>
      <c r="V169" s="8"/>
      <c r="W169" s="8"/>
      <c r="X169" s="8"/>
      <c r="Y169" s="8"/>
      <c r="Z169" s="8"/>
      <c r="AA169" s="58">
        <v>23.2</v>
      </c>
      <c r="AB169" s="58">
        <v>23.2</v>
      </c>
      <c r="AC169" s="42">
        <v>0</v>
      </c>
      <c r="AD169" s="42">
        <v>0</v>
      </c>
      <c r="AE169" s="42">
        <v>0</v>
      </c>
      <c r="AF169" s="8">
        <v>24.3</v>
      </c>
      <c r="AG169" s="8">
        <f t="shared" si="33"/>
        <v>-24.3</v>
      </c>
      <c r="AH169" s="59">
        <v>45868</v>
      </c>
      <c r="AI169" s="60">
        <v>0.62292824074074071</v>
      </c>
      <c r="AJ169" s="8" t="s">
        <v>63</v>
      </c>
      <c r="AK169" s="26">
        <v>35.5</v>
      </c>
      <c r="AL169" s="26">
        <f t="shared" si="30"/>
        <v>-35.5</v>
      </c>
      <c r="AM169" s="29">
        <v>45918</v>
      </c>
      <c r="AN169" s="60">
        <v>0.65277777777777779</v>
      </c>
      <c r="AO169" s="8" t="s">
        <v>69</v>
      </c>
      <c r="AP169" s="8">
        <v>33</v>
      </c>
      <c r="AQ169" s="8">
        <f t="shared" si="32"/>
        <v>-33</v>
      </c>
      <c r="AR169" s="59">
        <v>45946</v>
      </c>
      <c r="AS169" s="60">
        <v>0.50624999999999998</v>
      </c>
      <c r="AT169" s="8" t="s">
        <v>69</v>
      </c>
      <c r="AU169" s="8">
        <v>24</v>
      </c>
      <c r="AV169" s="8">
        <f t="shared" si="31"/>
        <v>-24</v>
      </c>
      <c r="AW169" s="59">
        <v>45988</v>
      </c>
      <c r="AX169" s="60">
        <v>0.47222222222222221</v>
      </c>
      <c r="AY169" s="8" t="s">
        <v>69</v>
      </c>
      <c r="AZ169" s="8" t="s">
        <v>37</v>
      </c>
    </row>
    <row r="170" spans="1:52" s="17" customFormat="1" ht="14" customHeight="1" x14ac:dyDescent="0.2">
      <c r="A170" s="8" t="s">
        <v>477</v>
      </c>
      <c r="B170" s="8">
        <v>46.705779999999997</v>
      </c>
      <c r="C170" s="8">
        <v>-71.063860000000005</v>
      </c>
      <c r="D170" s="8" t="s">
        <v>256</v>
      </c>
      <c r="E170" s="76" t="s">
        <v>252</v>
      </c>
      <c r="F170" s="8" t="s">
        <v>253</v>
      </c>
      <c r="G170" s="8" t="s">
        <v>407</v>
      </c>
      <c r="H170" s="8" t="s">
        <v>260</v>
      </c>
      <c r="I170" s="8" t="s">
        <v>478</v>
      </c>
      <c r="J170" s="56">
        <v>42562</v>
      </c>
      <c r="K170" s="8" t="s">
        <v>255</v>
      </c>
      <c r="L170" s="8">
        <v>140</v>
      </c>
      <c r="M170" s="8">
        <v>140</v>
      </c>
      <c r="N170" s="8">
        <v>1</v>
      </c>
      <c r="O170" s="8">
        <v>-1400</v>
      </c>
      <c r="P170" s="8">
        <v>1844</v>
      </c>
      <c r="Q170" s="77" t="s">
        <v>461</v>
      </c>
      <c r="R170" s="57">
        <v>45780.708333333336</v>
      </c>
      <c r="S170" s="57">
        <v>45988.541678240741</v>
      </c>
      <c r="T170" s="8"/>
      <c r="U170" s="8"/>
      <c r="V170" s="8"/>
      <c r="W170" s="8"/>
      <c r="X170" s="8"/>
      <c r="Y170" s="8"/>
      <c r="Z170" s="8"/>
      <c r="AA170" s="75">
        <v>13.166666666666666</v>
      </c>
      <c r="AB170" s="75">
        <v>13.166666666666666</v>
      </c>
      <c r="AC170" s="42">
        <v>0</v>
      </c>
      <c r="AD170" s="42">
        <v>0</v>
      </c>
      <c r="AE170" s="42">
        <v>0</v>
      </c>
      <c r="AF170" s="8">
        <v>55.3</v>
      </c>
      <c r="AG170" s="8">
        <f t="shared" si="33"/>
        <v>-55.3</v>
      </c>
      <c r="AH170" s="59">
        <v>45868</v>
      </c>
      <c r="AI170" s="60">
        <v>0.59237268518518515</v>
      </c>
      <c r="AJ170" s="8" t="s">
        <v>63</v>
      </c>
      <c r="AK170" s="8">
        <v>85</v>
      </c>
      <c r="AL170" s="8">
        <f t="shared" si="30"/>
        <v>-85</v>
      </c>
      <c r="AM170" s="29">
        <v>45918</v>
      </c>
      <c r="AN170" s="60">
        <v>0.65277777777777779</v>
      </c>
      <c r="AO170" s="8" t="s">
        <v>69</v>
      </c>
      <c r="AP170" s="8">
        <v>45</v>
      </c>
      <c r="AQ170" s="8">
        <f t="shared" si="32"/>
        <v>-45</v>
      </c>
      <c r="AR170" s="59">
        <v>45988</v>
      </c>
      <c r="AS170" s="60">
        <v>0.5708333333333333</v>
      </c>
      <c r="AT170" s="8" t="s">
        <v>69</v>
      </c>
      <c r="AU170" s="8"/>
      <c r="AV170" s="8">
        <f t="shared" si="31"/>
        <v>0</v>
      </c>
      <c r="AW170" s="26"/>
      <c r="AX170" s="26"/>
      <c r="AY170" s="26"/>
      <c r="AZ170" s="8" t="s">
        <v>37</v>
      </c>
    </row>
    <row r="171" spans="1:52" ht="14" customHeight="1" x14ac:dyDescent="0.2">
      <c r="A171" s="8" t="s">
        <v>477</v>
      </c>
      <c r="B171" s="8">
        <v>46.705779999999997</v>
      </c>
      <c r="C171" s="8">
        <v>-71.063860000000005</v>
      </c>
      <c r="D171" s="8" t="s">
        <v>256</v>
      </c>
      <c r="E171" s="76" t="s">
        <v>252</v>
      </c>
      <c r="F171" s="8" t="s">
        <v>253</v>
      </c>
      <c r="G171" s="8" t="s">
        <v>407</v>
      </c>
      <c r="H171" s="8" t="s">
        <v>260</v>
      </c>
      <c r="I171" s="8" t="s">
        <v>478</v>
      </c>
      <c r="J171" s="56">
        <v>42562</v>
      </c>
      <c r="K171" s="8" t="s">
        <v>255</v>
      </c>
      <c r="L171" s="8">
        <v>20</v>
      </c>
      <c r="M171" s="8">
        <v>140</v>
      </c>
      <c r="N171" s="8">
        <v>2</v>
      </c>
      <c r="O171" s="8">
        <v>-200</v>
      </c>
      <c r="P171" s="8">
        <v>3682</v>
      </c>
      <c r="Q171" s="8" t="s">
        <v>475</v>
      </c>
      <c r="R171" s="57">
        <v>45780.708333333336</v>
      </c>
      <c r="S171" s="57">
        <v>45988.541678240741</v>
      </c>
      <c r="T171" s="8"/>
      <c r="U171" s="8"/>
      <c r="V171" s="8"/>
      <c r="W171" s="8"/>
      <c r="X171" s="8"/>
      <c r="Y171" s="8"/>
      <c r="Z171" s="8"/>
      <c r="AA171" s="75">
        <v>13.166666666666666</v>
      </c>
      <c r="AB171" s="75">
        <v>13.166666666666666</v>
      </c>
      <c r="AC171" s="42">
        <v>0</v>
      </c>
      <c r="AD171" s="42">
        <v>0</v>
      </c>
      <c r="AE171" s="42">
        <v>0</v>
      </c>
      <c r="AF171" s="8">
        <v>55.3</v>
      </c>
      <c r="AG171" s="8">
        <f t="shared" si="33"/>
        <v>-55.3</v>
      </c>
      <c r="AH171" s="59">
        <v>45868</v>
      </c>
      <c r="AI171" s="60">
        <v>0.59237268518518515</v>
      </c>
      <c r="AJ171" s="8" t="s">
        <v>63</v>
      </c>
      <c r="AK171" s="8">
        <v>85</v>
      </c>
      <c r="AL171" s="8">
        <f t="shared" si="30"/>
        <v>-85</v>
      </c>
      <c r="AM171" s="29">
        <v>45918</v>
      </c>
      <c r="AN171" s="60">
        <v>0.65277777777777779</v>
      </c>
      <c r="AO171" s="8" t="s">
        <v>69</v>
      </c>
      <c r="AP171" s="8">
        <v>45</v>
      </c>
      <c r="AQ171" s="8">
        <f t="shared" si="32"/>
        <v>-45</v>
      </c>
      <c r="AR171" s="59">
        <v>45988</v>
      </c>
      <c r="AS171" s="60">
        <v>0.5708333333333333</v>
      </c>
      <c r="AT171" s="8" t="s">
        <v>69</v>
      </c>
      <c r="AU171" s="8"/>
      <c r="AV171" s="8">
        <f t="shared" si="31"/>
        <v>0</v>
      </c>
      <c r="AZ171" s="8" t="s">
        <v>37</v>
      </c>
    </row>
    <row r="172" spans="1:52" ht="14" customHeight="1" x14ac:dyDescent="0.2">
      <c r="A172" s="8" t="s">
        <v>477</v>
      </c>
      <c r="B172" s="8">
        <v>46.705779999999997</v>
      </c>
      <c r="C172" s="8">
        <v>-71.063860000000005</v>
      </c>
      <c r="D172" s="8" t="s">
        <v>257</v>
      </c>
      <c r="E172" s="76" t="s">
        <v>252</v>
      </c>
      <c r="F172" s="8" t="s">
        <v>253</v>
      </c>
      <c r="G172" s="8" t="s">
        <v>407</v>
      </c>
      <c r="H172" s="8" t="s">
        <v>260</v>
      </c>
      <c r="I172" s="8" t="s">
        <v>478</v>
      </c>
      <c r="J172" s="56">
        <v>42562</v>
      </c>
      <c r="K172" s="8" t="s">
        <v>255</v>
      </c>
      <c r="L172" s="8"/>
      <c r="M172" s="8">
        <v>140</v>
      </c>
      <c r="N172" s="8" t="s">
        <v>37</v>
      </c>
      <c r="O172" s="8" t="s">
        <v>37</v>
      </c>
      <c r="P172" s="8"/>
      <c r="Q172" s="8" t="s">
        <v>443</v>
      </c>
      <c r="R172" s="57">
        <v>45780.708333333336</v>
      </c>
      <c r="S172" s="57">
        <v>45988.541678240741</v>
      </c>
      <c r="T172" s="8"/>
      <c r="U172" s="8"/>
      <c r="V172" s="8"/>
      <c r="W172" s="8"/>
      <c r="X172" s="8"/>
      <c r="Y172" s="8"/>
      <c r="Z172" s="8"/>
      <c r="AA172" s="75">
        <v>13.166666666666666</v>
      </c>
      <c r="AB172" s="75">
        <v>13.166666666666666</v>
      </c>
      <c r="AC172" s="42">
        <v>0</v>
      </c>
      <c r="AD172" s="42">
        <v>0</v>
      </c>
      <c r="AE172" s="42">
        <v>0</v>
      </c>
      <c r="AF172" s="8">
        <v>55.3</v>
      </c>
      <c r="AG172" s="8">
        <f t="shared" si="33"/>
        <v>-55.3</v>
      </c>
      <c r="AH172" s="59">
        <v>45868</v>
      </c>
      <c r="AI172" s="60">
        <v>0.59237268518518515</v>
      </c>
      <c r="AJ172" s="8" t="s">
        <v>63</v>
      </c>
      <c r="AK172" s="8">
        <v>85</v>
      </c>
      <c r="AL172" s="8">
        <f t="shared" si="30"/>
        <v>-85</v>
      </c>
      <c r="AM172" s="29">
        <v>45918</v>
      </c>
      <c r="AN172" s="60">
        <v>0.65277777777777779</v>
      </c>
      <c r="AO172" s="8" t="s">
        <v>69</v>
      </c>
      <c r="AP172" s="8">
        <v>45</v>
      </c>
      <c r="AQ172" s="8">
        <f t="shared" si="32"/>
        <v>-45</v>
      </c>
      <c r="AR172" s="59">
        <v>45988</v>
      </c>
      <c r="AS172" s="60">
        <v>0.5708333333333333</v>
      </c>
      <c r="AT172" s="8" t="s">
        <v>69</v>
      </c>
      <c r="AU172" s="8"/>
      <c r="AV172" s="8">
        <f t="shared" si="31"/>
        <v>0</v>
      </c>
      <c r="AZ172" s="8" t="s">
        <v>37</v>
      </c>
    </row>
    <row r="173" spans="1:52" ht="15" customHeight="1" x14ac:dyDescent="0.2">
      <c r="A173" s="8" t="s">
        <v>476</v>
      </c>
      <c r="B173" s="8">
        <v>46.705829999999999</v>
      </c>
      <c r="C173" s="8">
        <v>-71.063749999999999</v>
      </c>
      <c r="D173" s="8" t="s">
        <v>256</v>
      </c>
      <c r="E173" s="26" t="s">
        <v>252</v>
      </c>
      <c r="F173" s="8" t="s">
        <v>253</v>
      </c>
      <c r="G173" s="8" t="s">
        <v>405</v>
      </c>
      <c r="H173" s="8" t="s">
        <v>260</v>
      </c>
      <c r="I173" s="8"/>
      <c r="J173" s="56">
        <v>42565</v>
      </c>
      <c r="K173" s="8" t="s">
        <v>255</v>
      </c>
      <c r="L173" s="8">
        <v>140</v>
      </c>
      <c r="M173" s="8">
        <v>140</v>
      </c>
      <c r="N173" s="8">
        <v>1</v>
      </c>
      <c r="O173" s="8">
        <v>-1400</v>
      </c>
      <c r="P173" s="8">
        <v>1846</v>
      </c>
      <c r="Q173" s="8" t="s">
        <v>475</v>
      </c>
      <c r="R173" s="57">
        <v>45780.708333333336</v>
      </c>
      <c r="S173" s="57">
        <v>45988.541678240741</v>
      </c>
      <c r="T173" s="8"/>
      <c r="U173" s="8"/>
      <c r="V173" s="8"/>
      <c r="W173" s="8"/>
      <c r="X173" s="8"/>
      <c r="Y173" s="8"/>
      <c r="Z173" s="8"/>
      <c r="AA173" s="58">
        <v>17.033333333333331</v>
      </c>
      <c r="AB173" s="58">
        <v>17.033333333333331</v>
      </c>
      <c r="AC173" s="42">
        <v>0</v>
      </c>
      <c r="AD173" s="42">
        <v>0</v>
      </c>
      <c r="AE173" s="42">
        <v>0</v>
      </c>
      <c r="AF173" s="8">
        <v>76.8</v>
      </c>
      <c r="AG173" s="8">
        <f t="shared" si="33"/>
        <v>-76.8</v>
      </c>
      <c r="AH173" s="59">
        <v>45868</v>
      </c>
      <c r="AI173" s="60">
        <v>0.58681712962962962</v>
      </c>
      <c r="AJ173" s="8" t="s">
        <v>63</v>
      </c>
      <c r="AK173" s="8">
        <v>104.5</v>
      </c>
      <c r="AL173" s="8">
        <f t="shared" si="30"/>
        <v>-104.5</v>
      </c>
      <c r="AM173" s="29">
        <v>45918</v>
      </c>
      <c r="AN173" s="60">
        <v>0.65277777777777779</v>
      </c>
      <c r="AO173" s="8" t="s">
        <v>69</v>
      </c>
      <c r="AP173" s="8">
        <v>70.5</v>
      </c>
      <c r="AQ173" s="8">
        <f t="shared" si="32"/>
        <v>-70.5</v>
      </c>
      <c r="AR173" s="59">
        <v>45988</v>
      </c>
      <c r="AS173" s="60">
        <v>0.56806712962962957</v>
      </c>
      <c r="AT173" s="8" t="s">
        <v>69</v>
      </c>
      <c r="AU173" s="8"/>
      <c r="AV173" s="8">
        <f t="shared" si="31"/>
        <v>0</v>
      </c>
      <c r="AW173" s="8"/>
      <c r="AX173" s="8"/>
      <c r="AY173" s="8"/>
      <c r="AZ173" s="8" t="s">
        <v>37</v>
      </c>
    </row>
    <row r="174" spans="1:52" ht="14" customHeight="1" x14ac:dyDescent="0.2">
      <c r="A174" s="8" t="s">
        <v>476</v>
      </c>
      <c r="B174" s="8">
        <v>46.705829999999999</v>
      </c>
      <c r="C174" s="8">
        <v>-71.063749999999999</v>
      </c>
      <c r="D174" s="8" t="s">
        <v>256</v>
      </c>
      <c r="E174" s="26" t="s">
        <v>252</v>
      </c>
      <c r="F174" s="8" t="s">
        <v>253</v>
      </c>
      <c r="G174" s="8" t="s">
        <v>405</v>
      </c>
      <c r="H174" s="8" t="s">
        <v>260</v>
      </c>
      <c r="I174" s="8"/>
      <c r="J174" s="56">
        <v>42565</v>
      </c>
      <c r="K174" s="8" t="s">
        <v>255</v>
      </c>
      <c r="L174" s="8">
        <v>20</v>
      </c>
      <c r="M174" s="8">
        <v>140</v>
      </c>
      <c r="N174" s="8">
        <v>2</v>
      </c>
      <c r="O174" s="8">
        <v>-200</v>
      </c>
      <c r="P174" s="8">
        <v>3704</v>
      </c>
      <c r="Q174" s="8"/>
      <c r="R174" s="57">
        <v>45780.708333333336</v>
      </c>
      <c r="S174" s="57">
        <v>45988.541678240741</v>
      </c>
      <c r="T174" s="8"/>
      <c r="U174" s="8"/>
      <c r="V174" s="8"/>
      <c r="W174" s="8"/>
      <c r="X174" s="8"/>
      <c r="Y174" s="8"/>
      <c r="Z174" s="8"/>
      <c r="AA174" s="58">
        <v>17.033333333333331</v>
      </c>
      <c r="AB174" s="58">
        <v>17.033333333333331</v>
      </c>
      <c r="AC174" s="42">
        <v>0</v>
      </c>
      <c r="AD174" s="42">
        <v>0</v>
      </c>
      <c r="AE174" s="42">
        <v>0</v>
      </c>
      <c r="AF174" s="8">
        <v>76.8</v>
      </c>
      <c r="AG174" s="8">
        <f t="shared" si="33"/>
        <v>-76.8</v>
      </c>
      <c r="AH174" s="59">
        <v>45868</v>
      </c>
      <c r="AI174" s="60">
        <v>0.58681712962962962</v>
      </c>
      <c r="AJ174" s="8" t="s">
        <v>63</v>
      </c>
      <c r="AK174" s="8">
        <v>104.5</v>
      </c>
      <c r="AL174" s="8">
        <f t="shared" si="30"/>
        <v>-104.5</v>
      </c>
      <c r="AM174" s="29">
        <v>45918</v>
      </c>
      <c r="AN174" s="60">
        <v>0.65277777777777779</v>
      </c>
      <c r="AO174" s="8" t="s">
        <v>69</v>
      </c>
      <c r="AP174" s="8">
        <v>70.5</v>
      </c>
      <c r="AQ174" s="8">
        <f t="shared" si="32"/>
        <v>-70.5</v>
      </c>
      <c r="AR174" s="59">
        <v>45988</v>
      </c>
      <c r="AS174" s="60">
        <v>0.56806712962962957</v>
      </c>
      <c r="AT174" s="8" t="s">
        <v>69</v>
      </c>
      <c r="AU174" s="8"/>
      <c r="AV174" s="8">
        <f t="shared" si="31"/>
        <v>0</v>
      </c>
      <c r="AW174" s="8"/>
      <c r="AX174" s="8"/>
      <c r="AY174" s="8"/>
      <c r="AZ174" s="8" t="s">
        <v>37</v>
      </c>
    </row>
    <row r="175" spans="1:52" ht="14" customHeight="1" x14ac:dyDescent="0.2">
      <c r="A175" s="8" t="s">
        <v>476</v>
      </c>
      <c r="B175" s="8">
        <v>46.705829999999999</v>
      </c>
      <c r="C175" s="8">
        <v>-71.063749999999999</v>
      </c>
      <c r="D175" s="8" t="s">
        <v>257</v>
      </c>
      <c r="E175" s="26" t="s">
        <v>252</v>
      </c>
      <c r="F175" s="8" t="s">
        <v>253</v>
      </c>
      <c r="G175" s="8" t="s">
        <v>405</v>
      </c>
      <c r="H175" s="8" t="s">
        <v>260</v>
      </c>
      <c r="I175" s="8"/>
      <c r="J175" s="56">
        <v>42565</v>
      </c>
      <c r="K175" s="8" t="s">
        <v>255</v>
      </c>
      <c r="L175" s="8"/>
      <c r="M175" s="8">
        <v>140</v>
      </c>
      <c r="N175" s="8" t="s">
        <v>37</v>
      </c>
      <c r="O175" s="8" t="s">
        <v>37</v>
      </c>
      <c r="P175" s="8"/>
      <c r="Q175" s="8"/>
      <c r="R175" s="57">
        <v>45780.708333333336</v>
      </c>
      <c r="S175" s="57">
        <v>45988.541678240741</v>
      </c>
      <c r="T175" s="8"/>
      <c r="U175" s="8"/>
      <c r="V175" s="8"/>
      <c r="W175" s="8"/>
      <c r="X175" s="8"/>
      <c r="Y175" s="8"/>
      <c r="Z175" s="8"/>
      <c r="AA175" s="58">
        <v>17.033333333333331</v>
      </c>
      <c r="AB175" s="58">
        <v>17.033333333333331</v>
      </c>
      <c r="AC175" s="42">
        <v>0</v>
      </c>
      <c r="AD175" s="42">
        <v>0</v>
      </c>
      <c r="AE175" s="42">
        <v>0</v>
      </c>
      <c r="AF175" s="8">
        <v>76.8</v>
      </c>
      <c r="AG175" s="8">
        <f t="shared" si="33"/>
        <v>-76.8</v>
      </c>
      <c r="AH175" s="59">
        <v>45868</v>
      </c>
      <c r="AI175" s="60">
        <v>0.58681712962962962</v>
      </c>
      <c r="AJ175" s="8" t="s">
        <v>63</v>
      </c>
      <c r="AK175" s="8">
        <v>104.5</v>
      </c>
      <c r="AL175" s="8">
        <f t="shared" ref="AL175" si="34">AK175*-1</f>
        <v>-104.5</v>
      </c>
      <c r="AM175" s="29">
        <v>45918</v>
      </c>
      <c r="AN175" s="60">
        <v>0.65277777777777779</v>
      </c>
      <c r="AO175" s="8" t="s">
        <v>69</v>
      </c>
      <c r="AP175" s="8">
        <v>70.5</v>
      </c>
      <c r="AQ175" s="8">
        <f t="shared" si="32"/>
        <v>-70.5</v>
      </c>
      <c r="AR175" s="59">
        <v>45988</v>
      </c>
      <c r="AS175" s="60">
        <v>0.56806712962962957</v>
      </c>
      <c r="AT175" s="8" t="s">
        <v>69</v>
      </c>
      <c r="AU175" s="8"/>
      <c r="AV175" s="8">
        <f t="shared" ref="AV175:AV178" si="35">AU175*-1</f>
        <v>0</v>
      </c>
      <c r="AW175" s="8"/>
      <c r="AX175" s="8"/>
      <c r="AY175" s="8"/>
      <c r="AZ175" s="8" t="s">
        <v>37</v>
      </c>
    </row>
    <row r="176" spans="1:52" ht="15" customHeight="1" x14ac:dyDescent="0.2">
      <c r="A176" s="8" t="s">
        <v>473</v>
      </c>
      <c r="B176" s="61">
        <v>46.705800000000004</v>
      </c>
      <c r="C176" s="8">
        <v>-71.063820000000007</v>
      </c>
      <c r="D176" s="8" t="s">
        <v>256</v>
      </c>
      <c r="E176" s="26" t="s">
        <v>252</v>
      </c>
      <c r="F176" s="8" t="s">
        <v>253</v>
      </c>
      <c r="G176" s="8" t="s">
        <v>413</v>
      </c>
      <c r="H176" s="8" t="s">
        <v>260</v>
      </c>
      <c r="I176" s="8" t="s">
        <v>472</v>
      </c>
      <c r="J176" s="56">
        <v>42566</v>
      </c>
      <c r="K176" s="8" t="s">
        <v>255</v>
      </c>
      <c r="L176" s="8">
        <v>140</v>
      </c>
      <c r="M176" s="8">
        <v>140</v>
      </c>
      <c r="N176" s="8">
        <v>1</v>
      </c>
      <c r="O176" s="8">
        <v>-1400</v>
      </c>
      <c r="P176" s="8">
        <v>1829</v>
      </c>
      <c r="Q176" s="8"/>
      <c r="R176" s="57">
        <v>45780.708333333336</v>
      </c>
      <c r="S176" s="57">
        <v>45988.541678240741</v>
      </c>
      <c r="T176" s="8"/>
      <c r="U176" s="8"/>
      <c r="V176" s="8"/>
      <c r="W176" s="8"/>
      <c r="X176" s="8"/>
      <c r="Y176" s="8"/>
      <c r="Z176" s="8"/>
      <c r="AA176" s="58">
        <v>9.3333333333333339</v>
      </c>
      <c r="AB176" s="58">
        <v>9.3333333333333339</v>
      </c>
      <c r="AC176" s="42">
        <v>0</v>
      </c>
      <c r="AD176" s="42">
        <v>0</v>
      </c>
      <c r="AE176" s="42">
        <v>0</v>
      </c>
      <c r="AF176" s="8">
        <v>65.5</v>
      </c>
      <c r="AG176" s="8">
        <f t="shared" si="33"/>
        <v>-65.5</v>
      </c>
      <c r="AH176" s="59">
        <v>45868</v>
      </c>
      <c r="AI176" s="60">
        <v>0.58890046296296295</v>
      </c>
      <c r="AJ176" s="8" t="s">
        <v>63</v>
      </c>
      <c r="AK176" s="8" t="s">
        <v>438</v>
      </c>
      <c r="AL176" s="8" t="s">
        <v>438</v>
      </c>
      <c r="AM176" s="29">
        <v>45918</v>
      </c>
      <c r="AN176" s="60">
        <v>0.65277777777777779</v>
      </c>
      <c r="AO176" s="8" t="s">
        <v>69</v>
      </c>
      <c r="AP176" s="8">
        <v>52.5</v>
      </c>
      <c r="AQ176" s="8">
        <f t="shared" si="32"/>
        <v>-52.5</v>
      </c>
      <c r="AR176" s="59">
        <v>45988</v>
      </c>
      <c r="AS176" s="60">
        <v>0.57292824074074078</v>
      </c>
      <c r="AT176" s="8" t="s">
        <v>69</v>
      </c>
      <c r="AU176" s="8"/>
      <c r="AV176" s="8">
        <f t="shared" si="35"/>
        <v>0</v>
      </c>
      <c r="AW176" s="8"/>
      <c r="AX176" s="8"/>
      <c r="AY176" s="8"/>
      <c r="AZ176" s="8" t="s">
        <v>37</v>
      </c>
    </row>
    <row r="177" spans="1:52" ht="14" customHeight="1" x14ac:dyDescent="0.2">
      <c r="A177" s="8" t="s">
        <v>473</v>
      </c>
      <c r="B177" s="61">
        <v>46.705800000000004</v>
      </c>
      <c r="C177" s="8">
        <v>-71.063820000000007</v>
      </c>
      <c r="D177" s="8" t="s">
        <v>256</v>
      </c>
      <c r="E177" s="26" t="s">
        <v>252</v>
      </c>
      <c r="F177" s="8" t="s">
        <v>253</v>
      </c>
      <c r="G177" s="8" t="s">
        <v>413</v>
      </c>
      <c r="H177" s="8" t="s">
        <v>260</v>
      </c>
      <c r="I177" s="8" t="s">
        <v>472</v>
      </c>
      <c r="J177" s="56">
        <v>42566</v>
      </c>
      <c r="K177" s="8" t="s">
        <v>255</v>
      </c>
      <c r="L177" s="8">
        <v>20</v>
      </c>
      <c r="M177" s="8">
        <v>140</v>
      </c>
      <c r="N177" s="8">
        <v>2</v>
      </c>
      <c r="O177" s="8">
        <v>-200</v>
      </c>
      <c r="P177" s="8">
        <v>3711</v>
      </c>
      <c r="Q177" s="8"/>
      <c r="R177" s="57">
        <v>45780.708333333336</v>
      </c>
      <c r="S177" s="57">
        <v>45988.541678240741</v>
      </c>
      <c r="T177" s="8"/>
      <c r="U177" s="8"/>
      <c r="V177" s="8"/>
      <c r="W177" s="8"/>
      <c r="X177" s="8"/>
      <c r="Y177" s="8"/>
      <c r="Z177" s="8"/>
      <c r="AA177" s="58">
        <v>9.3333333333333339</v>
      </c>
      <c r="AB177" s="58">
        <v>9.3333333333333339</v>
      </c>
      <c r="AC177" s="42">
        <v>0</v>
      </c>
      <c r="AD177" s="42">
        <v>0</v>
      </c>
      <c r="AE177" s="42">
        <v>0</v>
      </c>
      <c r="AF177" s="8">
        <v>65.5</v>
      </c>
      <c r="AG177" s="8">
        <f t="shared" si="33"/>
        <v>-65.5</v>
      </c>
      <c r="AH177" s="59">
        <v>45868</v>
      </c>
      <c r="AI177" s="60">
        <v>0.58890046296296295</v>
      </c>
      <c r="AJ177" s="8" t="s">
        <v>63</v>
      </c>
      <c r="AK177" s="8" t="s">
        <v>438</v>
      </c>
      <c r="AL177" s="8" t="s">
        <v>438</v>
      </c>
      <c r="AM177" s="29">
        <v>45918</v>
      </c>
      <c r="AN177" s="60">
        <v>0.65277777777777779</v>
      </c>
      <c r="AO177" s="8" t="s">
        <v>69</v>
      </c>
      <c r="AP177" s="8">
        <v>52.5</v>
      </c>
      <c r="AQ177" s="8">
        <f t="shared" si="32"/>
        <v>-52.5</v>
      </c>
      <c r="AR177" s="59">
        <v>45988</v>
      </c>
      <c r="AS177" s="60">
        <v>0.57292824074074078</v>
      </c>
      <c r="AT177" s="8" t="s">
        <v>69</v>
      </c>
      <c r="AU177" s="8"/>
      <c r="AV177" s="8">
        <f t="shared" si="35"/>
        <v>0</v>
      </c>
      <c r="AW177" s="8"/>
      <c r="AX177" s="8"/>
      <c r="AY177" s="8"/>
      <c r="AZ177" s="8" t="s">
        <v>37</v>
      </c>
    </row>
    <row r="178" spans="1:52" ht="14" customHeight="1" x14ac:dyDescent="0.2">
      <c r="A178" s="8" t="s">
        <v>473</v>
      </c>
      <c r="B178" s="61">
        <v>46.705800000000004</v>
      </c>
      <c r="C178" s="8">
        <v>-71.063820000000007</v>
      </c>
      <c r="D178" s="8" t="s">
        <v>257</v>
      </c>
      <c r="E178" s="26" t="s">
        <v>252</v>
      </c>
      <c r="F178" s="8" t="s">
        <v>253</v>
      </c>
      <c r="G178" s="8" t="s">
        <v>413</v>
      </c>
      <c r="H178" s="8" t="s">
        <v>260</v>
      </c>
      <c r="I178" s="8" t="s">
        <v>472</v>
      </c>
      <c r="J178" s="56">
        <v>42566</v>
      </c>
      <c r="K178" s="8" t="s">
        <v>255</v>
      </c>
      <c r="L178" s="8"/>
      <c r="M178" s="8">
        <v>140</v>
      </c>
      <c r="N178" s="8" t="s">
        <v>37</v>
      </c>
      <c r="O178" s="26" t="s">
        <v>37</v>
      </c>
      <c r="P178" s="26" t="s">
        <v>37</v>
      </c>
      <c r="Q178" s="8"/>
      <c r="R178" s="57">
        <v>45780.708333333336</v>
      </c>
      <c r="S178" s="57">
        <v>45988.541678240741</v>
      </c>
      <c r="T178" s="8"/>
      <c r="U178" s="8"/>
      <c r="V178" s="8"/>
      <c r="W178" s="8"/>
      <c r="X178" s="8"/>
      <c r="Y178" s="8"/>
      <c r="Z178" s="8"/>
      <c r="AA178" s="58">
        <v>9.3333333333333339</v>
      </c>
      <c r="AB178" s="58">
        <v>9.3333333333333339</v>
      </c>
      <c r="AC178" s="42">
        <v>0</v>
      </c>
      <c r="AD178" s="42">
        <v>0</v>
      </c>
      <c r="AE178" s="42">
        <v>0</v>
      </c>
      <c r="AF178" s="8">
        <v>65.5</v>
      </c>
      <c r="AG178" s="8">
        <f t="shared" si="33"/>
        <v>-65.5</v>
      </c>
      <c r="AH178" s="59">
        <v>45868</v>
      </c>
      <c r="AI178" s="60">
        <v>0.58890046296296295</v>
      </c>
      <c r="AJ178" s="8" t="s">
        <v>63</v>
      </c>
      <c r="AK178" s="8" t="s">
        <v>438</v>
      </c>
      <c r="AL178" s="8" t="s">
        <v>438</v>
      </c>
      <c r="AM178" s="29">
        <v>45918</v>
      </c>
      <c r="AN178" s="60">
        <v>0.65277777777777779</v>
      </c>
      <c r="AO178" s="8" t="s">
        <v>69</v>
      </c>
      <c r="AP178" s="8">
        <v>52.5</v>
      </c>
      <c r="AQ178" s="8">
        <f t="shared" si="32"/>
        <v>-52.5</v>
      </c>
      <c r="AR178" s="59">
        <v>45988</v>
      </c>
      <c r="AS178" s="60">
        <v>0.57292824074074078</v>
      </c>
      <c r="AT178" s="8" t="s">
        <v>69</v>
      </c>
      <c r="AU178" s="8"/>
      <c r="AV178" s="8">
        <f t="shared" si="35"/>
        <v>0</v>
      </c>
      <c r="AW178" s="8"/>
      <c r="AX178" s="8"/>
      <c r="AY178" s="8"/>
      <c r="AZ178" s="8" t="s">
        <v>37</v>
      </c>
    </row>
  </sheetData>
  <sortState xmlns:xlrd2="http://schemas.microsoft.com/office/spreadsheetml/2017/richdata2" ref="A45:AZ214">
    <sortCondition descending="1" ref="E45:E214"/>
  </sortState>
  <phoneticPr fontId="20" type="noConversion"/>
  <conditionalFormatting sqref="A21">
    <cfRule type="duplicateValues" dxfId="13" priority="1"/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89B906B-5E87-E148-95BD-ACC0C4BD451B}">
          <x14:formula1>
            <xm:f>VALIDATION!$I$2:$I$15</xm:f>
          </x14:formula1>
          <xm:sqref>AJ21:AJ22 AJ10 AO3 AJ26:AJ32 AO86:AO88 AY38 AY61:AY62 AJ49:AJ1048576 AJ15:AJ17 AJ35:AJ47 AJ22 AJ5</xm:sqref>
        </x14:dataValidation>
        <x14:dataValidation type="list" allowBlank="1" showInputMessage="1" showErrorMessage="1" xr:uid="{2BEB9CE6-E540-D841-9BB4-1CEC147F0A03}">
          <x14:formula1>
            <xm:f>VALIDATION!$A$2:$A$88</xm:f>
          </x14:formula1>
          <xm:sqref>J2:J178</xm:sqref>
        </x14:dataValidation>
        <x14:dataValidation type="list" allowBlank="1" showInputMessage="1" showErrorMessage="1" xr:uid="{C9348B43-6EE7-E841-9CAD-D5B6860E84C4}">
          <x14:formula1>
            <xm:f>VALIDATION!$J$2:$J$216</xm:f>
          </x14:formula1>
          <xm:sqref>G2:G277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60FF0-53EC-0E4E-AFD0-83079B24127A}">
  <dimension ref="A1:L112"/>
  <sheetViews>
    <sheetView topLeftCell="E1" zoomScale="115" zoomScaleNormal="115" workbookViewId="0">
      <pane ySplit="1" topLeftCell="A2" activePane="bottomLeft" state="frozen"/>
      <selection activeCell="F1" sqref="F1"/>
      <selection pane="bottomLeft" activeCell="J21" sqref="J21"/>
    </sheetView>
  </sheetViews>
  <sheetFormatPr baseColWidth="10" defaultColWidth="10.83203125" defaultRowHeight="16" x14ac:dyDescent="0.2"/>
  <cols>
    <col min="1" max="1" width="28.6640625" customWidth="1"/>
    <col min="2" max="2" width="16.6640625" customWidth="1"/>
    <col min="3" max="3" width="82.83203125" customWidth="1"/>
    <col min="4" max="4" width="6.1640625" customWidth="1"/>
    <col min="5" max="5" width="22.83203125" customWidth="1"/>
    <col min="7" max="7" width="10.83203125" style="2"/>
    <col min="10" max="10" width="25.1640625" customWidth="1"/>
    <col min="11" max="11" width="26.33203125" customWidth="1"/>
  </cols>
  <sheetData>
    <row r="1" spans="1:12" s="3" customFormat="1" x14ac:dyDescent="0.2">
      <c r="A1" s="3" t="s">
        <v>307</v>
      </c>
      <c r="B1" s="3" t="s">
        <v>33</v>
      </c>
      <c r="C1" s="3" t="s">
        <v>7</v>
      </c>
      <c r="D1" s="3" t="s">
        <v>308</v>
      </c>
      <c r="E1" s="3" t="s">
        <v>309</v>
      </c>
      <c r="F1" s="3" t="s">
        <v>310</v>
      </c>
      <c r="G1" s="4" t="s">
        <v>311</v>
      </c>
      <c r="H1" s="3" t="s">
        <v>312</v>
      </c>
      <c r="I1" s="15" t="s">
        <v>313</v>
      </c>
      <c r="J1" s="16" t="s">
        <v>2</v>
      </c>
      <c r="K1" s="18" t="s">
        <v>314</v>
      </c>
      <c r="L1" s="3" t="s">
        <v>495</v>
      </c>
    </row>
    <row r="2" spans="1:12" ht="68" x14ac:dyDescent="0.2">
      <c r="A2">
        <v>41360</v>
      </c>
      <c r="B2" s="1" t="s">
        <v>315</v>
      </c>
      <c r="C2">
        <v>100</v>
      </c>
      <c r="D2">
        <v>7.2</v>
      </c>
      <c r="E2" s="6" t="s">
        <v>316</v>
      </c>
      <c r="F2" t="s">
        <v>255</v>
      </c>
      <c r="H2" t="s">
        <v>37</v>
      </c>
      <c r="I2" t="s">
        <v>69</v>
      </c>
      <c r="J2" t="s">
        <v>317</v>
      </c>
      <c r="L2" t="s">
        <v>490</v>
      </c>
    </row>
    <row r="3" spans="1:12" x14ac:dyDescent="0.2">
      <c r="A3">
        <v>41370</v>
      </c>
      <c r="B3" s="1" t="s">
        <v>318</v>
      </c>
      <c r="C3">
        <v>100</v>
      </c>
      <c r="D3">
        <v>7.2</v>
      </c>
      <c r="E3" t="s">
        <v>319</v>
      </c>
      <c r="F3" t="s">
        <v>255</v>
      </c>
      <c r="H3">
        <v>20</v>
      </c>
      <c r="I3" t="s">
        <v>63</v>
      </c>
      <c r="J3" t="s">
        <v>235</v>
      </c>
      <c r="L3" t="s">
        <v>486</v>
      </c>
    </row>
    <row r="4" spans="1:12" x14ac:dyDescent="0.2">
      <c r="A4">
        <v>41387</v>
      </c>
      <c r="B4" s="1" t="s">
        <v>318</v>
      </c>
      <c r="C4">
        <v>100</v>
      </c>
      <c r="D4">
        <v>7.2</v>
      </c>
      <c r="E4" t="s">
        <v>319</v>
      </c>
      <c r="F4" t="s">
        <v>255</v>
      </c>
      <c r="H4">
        <v>80</v>
      </c>
      <c r="I4" t="s">
        <v>320</v>
      </c>
      <c r="J4" t="s">
        <v>321</v>
      </c>
      <c r="L4" t="s">
        <v>460</v>
      </c>
    </row>
    <row r="5" spans="1:12" x14ac:dyDescent="0.2">
      <c r="A5">
        <v>42566</v>
      </c>
      <c r="B5" s="1" t="s">
        <v>322</v>
      </c>
      <c r="C5">
        <v>150</v>
      </c>
      <c r="D5">
        <v>7.2</v>
      </c>
      <c r="E5" t="s">
        <v>319</v>
      </c>
      <c r="F5" t="s">
        <v>255</v>
      </c>
      <c r="H5">
        <v>140</v>
      </c>
      <c r="I5" t="s">
        <v>323</v>
      </c>
      <c r="J5" t="s">
        <v>324</v>
      </c>
      <c r="L5" t="s">
        <v>562</v>
      </c>
    </row>
    <row r="6" spans="1:12" x14ac:dyDescent="0.2">
      <c r="A6">
        <v>41384</v>
      </c>
      <c r="B6" t="s">
        <v>318</v>
      </c>
      <c r="C6">
        <v>100</v>
      </c>
      <c r="D6">
        <v>7.12</v>
      </c>
      <c r="E6" t="s">
        <v>319</v>
      </c>
      <c r="F6" t="s">
        <v>255</v>
      </c>
      <c r="I6" t="s">
        <v>325</v>
      </c>
      <c r="J6" t="s">
        <v>239</v>
      </c>
      <c r="L6" t="s">
        <v>491</v>
      </c>
    </row>
    <row r="7" spans="1:12" x14ac:dyDescent="0.2">
      <c r="A7">
        <v>41378</v>
      </c>
      <c r="B7" t="s">
        <v>318</v>
      </c>
      <c r="C7">
        <v>100</v>
      </c>
      <c r="D7">
        <v>7.18</v>
      </c>
      <c r="E7" t="s">
        <v>319</v>
      </c>
      <c r="F7" t="s">
        <v>255</v>
      </c>
      <c r="I7" t="s">
        <v>326</v>
      </c>
      <c r="J7" t="s">
        <v>241</v>
      </c>
      <c r="L7" t="s">
        <v>493</v>
      </c>
    </row>
    <row r="8" spans="1:12" x14ac:dyDescent="0.2">
      <c r="A8">
        <v>41368</v>
      </c>
      <c r="B8" t="s">
        <v>318</v>
      </c>
      <c r="C8">
        <v>100</v>
      </c>
      <c r="D8">
        <v>7.19</v>
      </c>
      <c r="E8" t="s">
        <v>319</v>
      </c>
      <c r="F8" t="s">
        <v>255</v>
      </c>
      <c r="I8" t="s">
        <v>327</v>
      </c>
      <c r="J8" t="s">
        <v>173</v>
      </c>
      <c r="L8" t="s">
        <v>492</v>
      </c>
    </row>
    <row r="9" spans="1:12" x14ac:dyDescent="0.2">
      <c r="A9">
        <v>41361</v>
      </c>
      <c r="B9" t="s">
        <v>318</v>
      </c>
      <c r="C9">
        <v>100</v>
      </c>
      <c r="D9">
        <v>7.2</v>
      </c>
      <c r="E9" t="s">
        <v>319</v>
      </c>
      <c r="F9" t="s">
        <v>255</v>
      </c>
      <c r="I9" t="s">
        <v>328</v>
      </c>
      <c r="J9" t="s">
        <v>161</v>
      </c>
      <c r="L9" t="s">
        <v>494</v>
      </c>
    </row>
    <row r="10" spans="1:12" x14ac:dyDescent="0.2">
      <c r="A10">
        <v>42563</v>
      </c>
      <c r="B10" s="1" t="s">
        <v>322</v>
      </c>
      <c r="C10">
        <v>150</v>
      </c>
      <c r="D10">
        <v>7.1</v>
      </c>
      <c r="E10" t="s">
        <v>319</v>
      </c>
      <c r="F10" t="s">
        <v>255</v>
      </c>
      <c r="I10" t="s">
        <v>329</v>
      </c>
      <c r="J10" t="s">
        <v>86</v>
      </c>
    </row>
    <row r="11" spans="1:12" x14ac:dyDescent="0.2">
      <c r="A11">
        <v>41359</v>
      </c>
      <c r="B11" t="s">
        <v>318</v>
      </c>
      <c r="C11">
        <v>100</v>
      </c>
      <c r="D11">
        <v>7.19</v>
      </c>
      <c r="E11" t="s">
        <v>319</v>
      </c>
      <c r="F11" t="s">
        <v>255</v>
      </c>
      <c r="I11" t="s">
        <v>45</v>
      </c>
      <c r="J11" t="s">
        <v>195</v>
      </c>
    </row>
    <row r="12" spans="1:12" x14ac:dyDescent="0.2">
      <c r="A12">
        <v>41383</v>
      </c>
      <c r="B12" t="s">
        <v>318</v>
      </c>
      <c r="C12">
        <v>100</v>
      </c>
      <c r="D12">
        <v>7.12</v>
      </c>
      <c r="E12" t="s">
        <v>319</v>
      </c>
      <c r="F12" t="s">
        <v>255</v>
      </c>
      <c r="J12" t="s">
        <v>164</v>
      </c>
    </row>
    <row r="13" spans="1:12" x14ac:dyDescent="0.2">
      <c r="A13">
        <v>41366</v>
      </c>
      <c r="B13" t="s">
        <v>318</v>
      </c>
      <c r="C13">
        <v>100</v>
      </c>
      <c r="D13">
        <v>7.12</v>
      </c>
      <c r="E13" t="s">
        <v>319</v>
      </c>
      <c r="F13" t="s">
        <v>255</v>
      </c>
      <c r="J13" t="s">
        <v>167</v>
      </c>
    </row>
    <row r="14" spans="1:12" x14ac:dyDescent="0.2">
      <c r="A14">
        <v>41362</v>
      </c>
      <c r="B14" t="s">
        <v>318</v>
      </c>
      <c r="C14">
        <v>100</v>
      </c>
      <c r="D14">
        <v>7.2</v>
      </c>
      <c r="E14" t="s">
        <v>319</v>
      </c>
      <c r="F14" t="s">
        <v>255</v>
      </c>
      <c r="J14" t="s">
        <v>92</v>
      </c>
    </row>
    <row r="15" spans="1:12" x14ac:dyDescent="0.2">
      <c r="A15">
        <v>42564</v>
      </c>
      <c r="B15" s="1" t="s">
        <v>322</v>
      </c>
      <c r="C15">
        <v>150</v>
      </c>
      <c r="D15">
        <v>7.12</v>
      </c>
      <c r="E15" t="s">
        <v>319</v>
      </c>
      <c r="F15" t="s">
        <v>255</v>
      </c>
      <c r="J15" t="s">
        <v>202</v>
      </c>
    </row>
    <row r="16" spans="1:12" x14ac:dyDescent="0.2">
      <c r="A16">
        <v>41374</v>
      </c>
      <c r="B16" t="s">
        <v>318</v>
      </c>
      <c r="C16">
        <v>100</v>
      </c>
      <c r="D16">
        <v>7.14</v>
      </c>
      <c r="E16" t="s">
        <v>319</v>
      </c>
      <c r="F16" t="s">
        <v>255</v>
      </c>
      <c r="J16" t="s">
        <v>193</v>
      </c>
    </row>
    <row r="17" spans="1:10" x14ac:dyDescent="0.2">
      <c r="A17">
        <v>42562</v>
      </c>
      <c r="B17" t="s">
        <v>322</v>
      </c>
      <c r="C17">
        <v>150</v>
      </c>
      <c r="D17">
        <v>7.2</v>
      </c>
      <c r="E17" t="s">
        <v>319</v>
      </c>
      <c r="F17" t="s">
        <v>255</v>
      </c>
      <c r="J17" t="s">
        <v>197</v>
      </c>
    </row>
    <row r="18" spans="1:10" x14ac:dyDescent="0.2">
      <c r="A18">
        <v>41382</v>
      </c>
      <c r="B18" t="s">
        <v>318</v>
      </c>
      <c r="C18">
        <v>100</v>
      </c>
      <c r="D18">
        <v>7.26</v>
      </c>
      <c r="E18" t="s">
        <v>319</v>
      </c>
      <c r="F18" t="s">
        <v>255</v>
      </c>
      <c r="J18" t="s">
        <v>142</v>
      </c>
    </row>
    <row r="19" spans="1:10" x14ac:dyDescent="0.2">
      <c r="A19">
        <v>41379</v>
      </c>
      <c r="B19" t="s">
        <v>318</v>
      </c>
      <c r="C19">
        <v>100</v>
      </c>
      <c r="D19">
        <v>7.16</v>
      </c>
      <c r="E19" t="s">
        <v>319</v>
      </c>
      <c r="F19" t="s">
        <v>255</v>
      </c>
      <c r="J19" t="s">
        <v>146</v>
      </c>
    </row>
    <row r="20" spans="1:10" x14ac:dyDescent="0.2">
      <c r="A20">
        <v>42565</v>
      </c>
      <c r="B20" t="s">
        <v>322</v>
      </c>
      <c r="C20">
        <v>150</v>
      </c>
      <c r="D20">
        <v>7.2</v>
      </c>
      <c r="E20" t="s">
        <v>319</v>
      </c>
      <c r="F20" t="s">
        <v>255</v>
      </c>
      <c r="J20" t="s">
        <v>148</v>
      </c>
    </row>
    <row r="21" spans="1:10" ht="153" x14ac:dyDescent="0.2">
      <c r="A21" s="5"/>
      <c r="F21" t="s">
        <v>255</v>
      </c>
      <c r="G21" s="11" t="s">
        <v>330</v>
      </c>
      <c r="J21" t="s">
        <v>158</v>
      </c>
    </row>
    <row r="22" spans="1:10" x14ac:dyDescent="0.2">
      <c r="A22" s="9">
        <v>41376</v>
      </c>
      <c r="C22">
        <v>100</v>
      </c>
      <c r="D22">
        <v>6.85</v>
      </c>
      <c r="E22" t="s">
        <v>331</v>
      </c>
      <c r="F22" t="s">
        <v>255</v>
      </c>
      <c r="J22" t="s">
        <v>150</v>
      </c>
    </row>
    <row r="23" spans="1:10" x14ac:dyDescent="0.2">
      <c r="A23" s="7"/>
      <c r="B23" s="7"/>
      <c r="C23" s="3" t="s">
        <v>332</v>
      </c>
      <c r="D23" s="3" t="s">
        <v>4</v>
      </c>
      <c r="E23" s="7"/>
      <c r="F23" s="7"/>
      <c r="G23" s="10"/>
      <c r="J23" t="s">
        <v>154</v>
      </c>
    </row>
    <row r="24" spans="1:10" x14ac:dyDescent="0.2">
      <c r="A24">
        <v>22220787</v>
      </c>
      <c r="C24" t="s">
        <v>333</v>
      </c>
      <c r="D24" t="s">
        <v>334</v>
      </c>
      <c r="F24" t="s">
        <v>36</v>
      </c>
      <c r="J24" t="s">
        <v>156</v>
      </c>
    </row>
    <row r="25" spans="1:10" x14ac:dyDescent="0.2">
      <c r="A25">
        <v>22224395</v>
      </c>
      <c r="C25" t="s">
        <v>333</v>
      </c>
      <c r="D25" t="s">
        <v>334</v>
      </c>
      <c r="F25" t="s">
        <v>36</v>
      </c>
      <c r="J25" t="s">
        <v>175</v>
      </c>
    </row>
    <row r="26" spans="1:10" x14ac:dyDescent="0.2">
      <c r="A26">
        <v>22224389</v>
      </c>
      <c r="C26" t="s">
        <v>335</v>
      </c>
      <c r="D26" t="s">
        <v>336</v>
      </c>
      <c r="F26" t="s">
        <v>36</v>
      </c>
      <c r="J26" t="s">
        <v>199</v>
      </c>
    </row>
    <row r="27" spans="1:10" x14ac:dyDescent="0.2">
      <c r="A27">
        <v>22224408</v>
      </c>
      <c r="C27" t="s">
        <v>333</v>
      </c>
      <c r="D27" t="s">
        <v>336</v>
      </c>
      <c r="F27" t="s">
        <v>36</v>
      </c>
      <c r="J27" t="s">
        <v>204</v>
      </c>
    </row>
    <row r="28" spans="1:10" x14ac:dyDescent="0.2">
      <c r="A28">
        <v>22224409</v>
      </c>
      <c r="C28" t="s">
        <v>333</v>
      </c>
      <c r="D28" t="s">
        <v>336</v>
      </c>
      <c r="F28" t="s">
        <v>36</v>
      </c>
      <c r="J28" t="s">
        <v>207</v>
      </c>
    </row>
    <row r="29" spans="1:10" x14ac:dyDescent="0.2">
      <c r="A29">
        <v>22220790</v>
      </c>
      <c r="C29" t="s">
        <v>333</v>
      </c>
      <c r="D29" t="s">
        <v>336</v>
      </c>
      <c r="F29" t="s">
        <v>36</v>
      </c>
      <c r="J29" t="s">
        <v>169</v>
      </c>
    </row>
    <row r="30" spans="1:10" x14ac:dyDescent="0.2">
      <c r="A30">
        <v>22224393</v>
      </c>
      <c r="C30" t="s">
        <v>333</v>
      </c>
      <c r="D30" t="s">
        <v>336</v>
      </c>
      <c r="F30" t="s">
        <v>36</v>
      </c>
      <c r="J30" t="s">
        <v>209</v>
      </c>
    </row>
    <row r="31" spans="1:10" x14ac:dyDescent="0.2">
      <c r="A31" s="5">
        <v>22220788</v>
      </c>
      <c r="C31" s="8" t="s">
        <v>333</v>
      </c>
      <c r="D31" t="s">
        <v>336</v>
      </c>
      <c r="F31" t="s">
        <v>36</v>
      </c>
      <c r="G31" s="2" t="s">
        <v>337</v>
      </c>
      <c r="J31" t="s">
        <v>138</v>
      </c>
    </row>
    <row r="32" spans="1:10" x14ac:dyDescent="0.2">
      <c r="A32">
        <v>22224390</v>
      </c>
      <c r="C32" s="8" t="s">
        <v>333</v>
      </c>
      <c r="D32" t="s">
        <v>336</v>
      </c>
      <c r="F32" t="s">
        <v>36</v>
      </c>
      <c r="J32" t="s">
        <v>178</v>
      </c>
    </row>
    <row r="33" spans="1:10" x14ac:dyDescent="0.2">
      <c r="A33">
        <v>22224401</v>
      </c>
      <c r="C33" s="8" t="s">
        <v>333</v>
      </c>
      <c r="D33" t="s">
        <v>336</v>
      </c>
      <c r="F33" t="s">
        <v>36</v>
      </c>
      <c r="J33" t="s">
        <v>181</v>
      </c>
    </row>
    <row r="34" spans="1:10" x14ac:dyDescent="0.2">
      <c r="A34">
        <v>22224414</v>
      </c>
      <c r="C34" s="8" t="s">
        <v>333</v>
      </c>
      <c r="D34" t="s">
        <v>336</v>
      </c>
      <c r="F34" t="s">
        <v>36</v>
      </c>
      <c r="J34" t="s">
        <v>80</v>
      </c>
    </row>
    <row r="35" spans="1:10" x14ac:dyDescent="0.2">
      <c r="A35">
        <v>22224413</v>
      </c>
      <c r="C35" s="8" t="s">
        <v>333</v>
      </c>
      <c r="D35" t="s">
        <v>336</v>
      </c>
      <c r="F35" t="s">
        <v>36</v>
      </c>
      <c r="J35" t="s">
        <v>184</v>
      </c>
    </row>
    <row r="36" spans="1:10" x14ac:dyDescent="0.2">
      <c r="A36">
        <v>22224403</v>
      </c>
      <c r="C36" s="8" t="s">
        <v>333</v>
      </c>
      <c r="D36" t="s">
        <v>336</v>
      </c>
      <c r="F36" t="s">
        <v>36</v>
      </c>
      <c r="J36" t="s">
        <v>187</v>
      </c>
    </row>
    <row r="37" spans="1:10" x14ac:dyDescent="0.2">
      <c r="A37" s="5">
        <v>22220789</v>
      </c>
      <c r="C37" s="8" t="s">
        <v>333</v>
      </c>
      <c r="D37" t="s">
        <v>336</v>
      </c>
      <c r="F37" t="s">
        <v>36</v>
      </c>
      <c r="G37" s="2" t="s">
        <v>337</v>
      </c>
      <c r="J37" t="s">
        <v>189</v>
      </c>
    </row>
    <row r="38" spans="1:10" x14ac:dyDescent="0.2">
      <c r="A38">
        <v>22224405</v>
      </c>
      <c r="C38" s="8" t="s">
        <v>333</v>
      </c>
      <c r="D38" t="s">
        <v>336</v>
      </c>
      <c r="F38" t="s">
        <v>36</v>
      </c>
      <c r="J38" t="s">
        <v>135</v>
      </c>
    </row>
    <row r="39" spans="1:10" x14ac:dyDescent="0.2">
      <c r="A39">
        <v>22224411</v>
      </c>
      <c r="C39" s="8" t="s">
        <v>333</v>
      </c>
      <c r="D39" t="s">
        <v>336</v>
      </c>
      <c r="F39" t="s">
        <v>36</v>
      </c>
      <c r="J39" t="s">
        <v>191</v>
      </c>
    </row>
    <row r="40" spans="1:10" x14ac:dyDescent="0.2">
      <c r="A40">
        <v>22220783</v>
      </c>
      <c r="C40" s="8" t="s">
        <v>333</v>
      </c>
      <c r="D40" t="s">
        <v>336</v>
      </c>
      <c r="F40" t="s">
        <v>36</v>
      </c>
      <c r="J40" t="s">
        <v>211</v>
      </c>
    </row>
    <row r="41" spans="1:10" x14ac:dyDescent="0.2">
      <c r="A41">
        <v>22220782</v>
      </c>
      <c r="C41" s="8" t="s">
        <v>333</v>
      </c>
      <c r="D41" t="s">
        <v>336</v>
      </c>
      <c r="F41" t="s">
        <v>36</v>
      </c>
      <c r="J41" t="s">
        <v>213</v>
      </c>
    </row>
    <row r="42" spans="1:10" x14ac:dyDescent="0.2">
      <c r="A42">
        <v>22224397</v>
      </c>
      <c r="C42" s="8" t="s">
        <v>333</v>
      </c>
      <c r="D42" t="s">
        <v>336</v>
      </c>
      <c r="F42" t="s">
        <v>36</v>
      </c>
      <c r="J42" t="s">
        <v>338</v>
      </c>
    </row>
    <row r="43" spans="1:10" x14ac:dyDescent="0.2">
      <c r="A43">
        <v>22224399</v>
      </c>
      <c r="C43" s="8" t="s">
        <v>333</v>
      </c>
      <c r="D43" t="s">
        <v>336</v>
      </c>
      <c r="F43" t="s">
        <v>36</v>
      </c>
      <c r="J43" t="s">
        <v>339</v>
      </c>
    </row>
    <row r="44" spans="1:10" x14ac:dyDescent="0.2">
      <c r="A44">
        <v>22224412</v>
      </c>
      <c r="C44" s="8" t="s">
        <v>333</v>
      </c>
      <c r="D44" t="s">
        <v>336</v>
      </c>
      <c r="F44" t="s">
        <v>36</v>
      </c>
      <c r="J44" t="s">
        <v>340</v>
      </c>
    </row>
    <row r="45" spans="1:10" x14ac:dyDescent="0.2">
      <c r="A45">
        <v>22224400</v>
      </c>
      <c r="C45" s="8" t="s">
        <v>333</v>
      </c>
      <c r="D45" t="s">
        <v>336</v>
      </c>
      <c r="F45" t="s">
        <v>36</v>
      </c>
      <c r="J45" t="s">
        <v>341</v>
      </c>
    </row>
    <row r="46" spans="1:10" x14ac:dyDescent="0.2">
      <c r="A46">
        <v>22220791</v>
      </c>
      <c r="C46" s="8" t="s">
        <v>333</v>
      </c>
      <c r="D46" t="s">
        <v>336</v>
      </c>
      <c r="F46" t="s">
        <v>36</v>
      </c>
      <c r="J46" t="s">
        <v>342</v>
      </c>
    </row>
    <row r="47" spans="1:10" x14ac:dyDescent="0.2">
      <c r="A47" s="9">
        <v>22224386</v>
      </c>
      <c r="C47" s="8" t="s">
        <v>333</v>
      </c>
      <c r="D47" t="s">
        <v>336</v>
      </c>
      <c r="F47" t="s">
        <v>36</v>
      </c>
      <c r="G47" s="13" t="s">
        <v>131</v>
      </c>
      <c r="J47" t="s">
        <v>343</v>
      </c>
    </row>
    <row r="48" spans="1:10" x14ac:dyDescent="0.2">
      <c r="A48">
        <v>22224387</v>
      </c>
      <c r="C48" s="8" t="s">
        <v>333</v>
      </c>
      <c r="D48" t="s">
        <v>336</v>
      </c>
      <c r="F48" t="s">
        <v>36</v>
      </c>
      <c r="J48" t="s">
        <v>344</v>
      </c>
    </row>
    <row r="49" spans="1:10" x14ac:dyDescent="0.2">
      <c r="A49">
        <v>22224388</v>
      </c>
      <c r="C49" s="8" t="s">
        <v>333</v>
      </c>
      <c r="D49" t="s">
        <v>336</v>
      </c>
      <c r="F49" t="s">
        <v>36</v>
      </c>
      <c r="J49" t="s">
        <v>345</v>
      </c>
    </row>
    <row r="50" spans="1:10" x14ac:dyDescent="0.2">
      <c r="A50">
        <v>22224394</v>
      </c>
      <c r="C50" s="8" t="s">
        <v>333</v>
      </c>
      <c r="D50" t="s">
        <v>336</v>
      </c>
      <c r="F50" t="s">
        <v>36</v>
      </c>
      <c r="J50" t="s">
        <v>346</v>
      </c>
    </row>
    <row r="51" spans="1:10" x14ac:dyDescent="0.2">
      <c r="A51">
        <v>22224410</v>
      </c>
      <c r="C51" s="8" t="s">
        <v>333</v>
      </c>
      <c r="D51" t="s">
        <v>336</v>
      </c>
      <c r="F51" t="s">
        <v>36</v>
      </c>
      <c r="J51" t="s">
        <v>347</v>
      </c>
    </row>
    <row r="52" spans="1:10" x14ac:dyDescent="0.2">
      <c r="A52">
        <v>22220786</v>
      </c>
      <c r="C52" s="8" t="s">
        <v>333</v>
      </c>
      <c r="D52" t="s">
        <v>336</v>
      </c>
      <c r="F52" t="s">
        <v>36</v>
      </c>
      <c r="J52" t="s">
        <v>348</v>
      </c>
    </row>
    <row r="53" spans="1:10" x14ac:dyDescent="0.2">
      <c r="A53">
        <v>22224391</v>
      </c>
      <c r="C53" s="8" t="s">
        <v>333</v>
      </c>
      <c r="D53" t="s">
        <v>336</v>
      </c>
      <c r="F53" t="s">
        <v>36</v>
      </c>
      <c r="J53" t="s">
        <v>349</v>
      </c>
    </row>
    <row r="54" spans="1:10" x14ac:dyDescent="0.2">
      <c r="A54">
        <v>22224392</v>
      </c>
      <c r="C54" s="8" t="s">
        <v>333</v>
      </c>
      <c r="D54" t="s">
        <v>336</v>
      </c>
      <c r="F54" t="s">
        <v>36</v>
      </c>
      <c r="G54" s="21"/>
      <c r="J54" t="s">
        <v>350</v>
      </c>
    </row>
    <row r="55" spans="1:10" x14ac:dyDescent="0.2">
      <c r="A55">
        <v>22224406</v>
      </c>
      <c r="C55" s="8" t="s">
        <v>333</v>
      </c>
      <c r="D55" t="s">
        <v>336</v>
      </c>
      <c r="F55" t="s">
        <v>36</v>
      </c>
      <c r="J55" t="s">
        <v>351</v>
      </c>
    </row>
    <row r="56" spans="1:10" x14ac:dyDescent="0.2">
      <c r="A56">
        <v>22195240</v>
      </c>
      <c r="C56" s="8" t="s">
        <v>333</v>
      </c>
      <c r="D56" t="s">
        <v>336</v>
      </c>
      <c r="F56" t="s">
        <v>36</v>
      </c>
      <c r="G56" s="21"/>
      <c r="J56" t="s">
        <v>352</v>
      </c>
    </row>
    <row r="57" spans="1:10" x14ac:dyDescent="0.2">
      <c r="A57">
        <v>22063159</v>
      </c>
      <c r="C57" s="8" t="s">
        <v>333</v>
      </c>
      <c r="D57" t="s">
        <v>336</v>
      </c>
      <c r="F57" t="s">
        <v>36</v>
      </c>
      <c r="J57" t="s">
        <v>353</v>
      </c>
    </row>
    <row r="58" spans="1:10" x14ac:dyDescent="0.2">
      <c r="A58">
        <v>22063156</v>
      </c>
      <c r="C58" s="8" t="s">
        <v>333</v>
      </c>
      <c r="D58" t="s">
        <v>336</v>
      </c>
      <c r="F58" t="s">
        <v>36</v>
      </c>
      <c r="J58" t="s">
        <v>354</v>
      </c>
    </row>
    <row r="59" spans="1:10" x14ac:dyDescent="0.2">
      <c r="A59">
        <v>22224396</v>
      </c>
      <c r="C59" s="8" t="s">
        <v>355</v>
      </c>
      <c r="D59" t="s">
        <v>336</v>
      </c>
      <c r="F59" t="s">
        <v>36</v>
      </c>
      <c r="J59" t="s">
        <v>356</v>
      </c>
    </row>
    <row r="60" spans="1:10" x14ac:dyDescent="0.2">
      <c r="A60">
        <v>22220781</v>
      </c>
      <c r="C60" s="8" t="s">
        <v>357</v>
      </c>
      <c r="D60" t="s">
        <v>336</v>
      </c>
      <c r="F60" t="s">
        <v>36</v>
      </c>
      <c r="J60" t="s">
        <v>358</v>
      </c>
    </row>
    <row r="61" spans="1:10" x14ac:dyDescent="0.2">
      <c r="A61">
        <v>22195245</v>
      </c>
      <c r="C61" t="s">
        <v>359</v>
      </c>
      <c r="D61" t="s">
        <v>336</v>
      </c>
      <c r="F61" t="s">
        <v>36</v>
      </c>
      <c r="J61" t="s">
        <v>360</v>
      </c>
    </row>
    <row r="62" spans="1:10" x14ac:dyDescent="0.2">
      <c r="A62">
        <v>22195242</v>
      </c>
      <c r="C62" s="8" t="s">
        <v>361</v>
      </c>
      <c r="D62" t="s">
        <v>336</v>
      </c>
      <c r="F62" t="s">
        <v>36</v>
      </c>
      <c r="J62" t="s">
        <v>362</v>
      </c>
    </row>
    <row r="63" spans="1:10" x14ac:dyDescent="0.2">
      <c r="A63">
        <v>22195243</v>
      </c>
      <c r="C63" t="s">
        <v>359</v>
      </c>
      <c r="D63" t="s">
        <v>336</v>
      </c>
      <c r="F63" t="s">
        <v>36</v>
      </c>
      <c r="J63" t="s">
        <v>363</v>
      </c>
    </row>
    <row r="64" spans="1:10" x14ac:dyDescent="0.2">
      <c r="A64">
        <v>22195244</v>
      </c>
      <c r="C64" s="8" t="s">
        <v>364</v>
      </c>
      <c r="D64" t="s">
        <v>336</v>
      </c>
      <c r="F64" t="s">
        <v>36</v>
      </c>
      <c r="J64" t="s">
        <v>365</v>
      </c>
    </row>
    <row r="65" spans="1:10" x14ac:dyDescent="0.2">
      <c r="A65">
        <v>22195246</v>
      </c>
      <c r="C65" t="s">
        <v>359</v>
      </c>
      <c r="D65" t="s">
        <v>336</v>
      </c>
      <c r="F65" t="s">
        <v>36</v>
      </c>
      <c r="J65" t="s">
        <v>366</v>
      </c>
    </row>
    <row r="66" spans="1:10" x14ac:dyDescent="0.2">
      <c r="A66" s="5">
        <v>22195247</v>
      </c>
      <c r="C66" s="8" t="s">
        <v>367</v>
      </c>
      <c r="D66" t="s">
        <v>336</v>
      </c>
      <c r="F66" t="s">
        <v>36</v>
      </c>
      <c r="G66" s="24" t="s">
        <v>337</v>
      </c>
      <c r="J66" t="s">
        <v>368</v>
      </c>
    </row>
    <row r="67" spans="1:10" x14ac:dyDescent="0.2">
      <c r="A67">
        <v>22195248</v>
      </c>
      <c r="C67" t="s">
        <v>364</v>
      </c>
      <c r="D67" t="s">
        <v>336</v>
      </c>
      <c r="F67" t="s">
        <v>36</v>
      </c>
      <c r="J67" t="s">
        <v>369</v>
      </c>
    </row>
    <row r="68" spans="1:10" x14ac:dyDescent="0.2">
      <c r="A68">
        <v>22063137</v>
      </c>
      <c r="C68" s="8" t="s">
        <v>364</v>
      </c>
      <c r="D68" t="s">
        <v>336</v>
      </c>
      <c r="E68" s="20"/>
      <c r="F68" t="s">
        <v>36</v>
      </c>
      <c r="J68" t="s">
        <v>370</v>
      </c>
    </row>
    <row r="69" spans="1:10" x14ac:dyDescent="0.2">
      <c r="A69">
        <v>22063138</v>
      </c>
      <c r="C69" t="s">
        <v>364</v>
      </c>
      <c r="D69" t="s">
        <v>336</v>
      </c>
      <c r="E69" s="20"/>
      <c r="F69" t="s">
        <v>36</v>
      </c>
      <c r="J69" t="s">
        <v>371</v>
      </c>
    </row>
    <row r="70" spans="1:10" x14ac:dyDescent="0.2">
      <c r="A70">
        <v>22063139</v>
      </c>
      <c r="C70" t="s">
        <v>372</v>
      </c>
      <c r="D70" t="s">
        <v>336</v>
      </c>
      <c r="E70" s="17"/>
      <c r="F70" t="s">
        <v>36</v>
      </c>
      <c r="J70" t="s">
        <v>373</v>
      </c>
    </row>
    <row r="71" spans="1:10" x14ac:dyDescent="0.2">
      <c r="A71">
        <v>22063142</v>
      </c>
      <c r="C71" t="s">
        <v>374</v>
      </c>
      <c r="D71" t="s">
        <v>336</v>
      </c>
      <c r="F71" t="s">
        <v>36</v>
      </c>
      <c r="J71" t="s">
        <v>375</v>
      </c>
    </row>
    <row r="72" spans="1:10" x14ac:dyDescent="0.2">
      <c r="A72">
        <v>22063155</v>
      </c>
      <c r="C72" t="s">
        <v>364</v>
      </c>
      <c r="D72" t="s">
        <v>336</v>
      </c>
      <c r="F72" t="s">
        <v>36</v>
      </c>
      <c r="J72" t="s">
        <v>376</v>
      </c>
    </row>
    <row r="73" spans="1:10" x14ac:dyDescent="0.2">
      <c r="A73" s="23">
        <v>22063141</v>
      </c>
      <c r="C73" s="8" t="s">
        <v>367</v>
      </c>
      <c r="D73" t="s">
        <v>336</v>
      </c>
      <c r="F73" t="s">
        <v>36</v>
      </c>
      <c r="G73" s="2" t="s">
        <v>377</v>
      </c>
      <c r="J73" t="s">
        <v>378</v>
      </c>
    </row>
    <row r="74" spans="1:10" x14ac:dyDescent="0.2">
      <c r="A74">
        <v>22063143</v>
      </c>
      <c r="C74" t="s">
        <v>364</v>
      </c>
      <c r="D74" t="s">
        <v>336</v>
      </c>
      <c r="F74" t="s">
        <v>36</v>
      </c>
      <c r="J74" s="17" t="s">
        <v>245</v>
      </c>
    </row>
    <row r="75" spans="1:10" x14ac:dyDescent="0.2">
      <c r="A75">
        <v>22063140</v>
      </c>
      <c r="C75" t="s">
        <v>364</v>
      </c>
      <c r="D75" t="s">
        <v>336</v>
      </c>
      <c r="F75" t="s">
        <v>36</v>
      </c>
      <c r="J75" t="s">
        <v>98</v>
      </c>
    </row>
    <row r="76" spans="1:10" x14ac:dyDescent="0.2">
      <c r="A76">
        <v>22220785</v>
      </c>
      <c r="C76" t="s">
        <v>379</v>
      </c>
      <c r="D76" t="s">
        <v>336</v>
      </c>
      <c r="F76" t="s">
        <v>36</v>
      </c>
      <c r="G76" s="21"/>
      <c r="J76" t="s">
        <v>103</v>
      </c>
    </row>
    <row r="77" spans="1:10" x14ac:dyDescent="0.2">
      <c r="A77">
        <v>22220784</v>
      </c>
      <c r="C77" t="s">
        <v>379</v>
      </c>
      <c r="D77" t="s">
        <v>336</v>
      </c>
      <c r="F77" t="s">
        <v>36</v>
      </c>
      <c r="G77" s="21"/>
      <c r="J77" t="s">
        <v>106</v>
      </c>
    </row>
    <row r="78" spans="1:10" x14ac:dyDescent="0.2">
      <c r="A78">
        <v>22195241</v>
      </c>
      <c r="C78" t="s">
        <v>379</v>
      </c>
      <c r="D78" s="12"/>
      <c r="J78" t="s">
        <v>216</v>
      </c>
    </row>
    <row r="79" spans="1:10" x14ac:dyDescent="0.2">
      <c r="A79">
        <v>22224381</v>
      </c>
      <c r="C79" s="8" t="s">
        <v>333</v>
      </c>
      <c r="D79" t="s">
        <v>336</v>
      </c>
      <c r="F79" t="s">
        <v>36</v>
      </c>
      <c r="G79" s="13"/>
      <c r="J79" t="s">
        <v>221</v>
      </c>
    </row>
    <row r="80" spans="1:10" x14ac:dyDescent="0.2">
      <c r="A80" s="9">
        <v>22224407</v>
      </c>
      <c r="C80" s="8" t="s">
        <v>333</v>
      </c>
      <c r="D80" t="s">
        <v>336</v>
      </c>
      <c r="F80" t="s">
        <v>36</v>
      </c>
      <c r="G80" s="13" t="s">
        <v>131</v>
      </c>
      <c r="J80" t="s">
        <v>223</v>
      </c>
    </row>
    <row r="81" spans="1:10" x14ac:dyDescent="0.2">
      <c r="A81" s="23">
        <v>22224385</v>
      </c>
      <c r="C81" s="8" t="s">
        <v>367</v>
      </c>
      <c r="D81" t="s">
        <v>336</v>
      </c>
      <c r="F81" t="s">
        <v>36</v>
      </c>
      <c r="G81" s="2" t="s">
        <v>380</v>
      </c>
      <c r="J81" t="s">
        <v>225</v>
      </c>
    </row>
    <row r="82" spans="1:10" x14ac:dyDescent="0.2">
      <c r="A82" s="23">
        <v>22224402</v>
      </c>
      <c r="C82" s="8" t="s">
        <v>367</v>
      </c>
      <c r="D82" t="s">
        <v>336</v>
      </c>
      <c r="F82" t="s">
        <v>36</v>
      </c>
      <c r="G82" s="2" t="s">
        <v>380</v>
      </c>
      <c r="J82" t="s">
        <v>230</v>
      </c>
    </row>
    <row r="83" spans="1:10" x14ac:dyDescent="0.2">
      <c r="A83">
        <v>22224384</v>
      </c>
      <c r="C83" s="8" t="s">
        <v>367</v>
      </c>
      <c r="D83" t="s">
        <v>336</v>
      </c>
      <c r="F83" t="s">
        <v>36</v>
      </c>
      <c r="J83" t="s">
        <v>233</v>
      </c>
    </row>
    <row r="84" spans="1:10" x14ac:dyDescent="0.2">
      <c r="A84" s="13"/>
      <c r="B84" s="13"/>
      <c r="J84" t="s">
        <v>116</v>
      </c>
    </row>
    <row r="85" spans="1:10" ht="27" x14ac:dyDescent="0.35">
      <c r="A85" s="13"/>
      <c r="B85" s="13"/>
      <c r="C85" s="25"/>
      <c r="J85" t="s">
        <v>119</v>
      </c>
    </row>
    <row r="86" spans="1:10" x14ac:dyDescent="0.2">
      <c r="A86" s="13"/>
      <c r="B86" s="13"/>
      <c r="J86" t="s">
        <v>120</v>
      </c>
    </row>
    <row r="87" spans="1:10" x14ac:dyDescent="0.2">
      <c r="A87" s="13"/>
      <c r="B87" s="13"/>
      <c r="J87" s="13" t="s">
        <v>66</v>
      </c>
    </row>
    <row r="88" spans="1:10" x14ac:dyDescent="0.2">
      <c r="A88" s="14"/>
      <c r="B88" s="13"/>
      <c r="J88" s="13" t="s">
        <v>60</v>
      </c>
    </row>
    <row r="89" spans="1:10" x14ac:dyDescent="0.2">
      <c r="J89" t="s">
        <v>47</v>
      </c>
    </row>
    <row r="90" spans="1:10" x14ac:dyDescent="0.2">
      <c r="J90" t="s">
        <v>43</v>
      </c>
    </row>
    <row r="91" spans="1:10" x14ac:dyDescent="0.2">
      <c r="J91" t="s">
        <v>51</v>
      </c>
    </row>
    <row r="92" spans="1:10" x14ac:dyDescent="0.2">
      <c r="J92" s="13" t="s">
        <v>73</v>
      </c>
    </row>
    <row r="93" spans="1:10" x14ac:dyDescent="0.2">
      <c r="J93" s="17" t="s">
        <v>381</v>
      </c>
    </row>
    <row r="94" spans="1:10" x14ac:dyDescent="0.2">
      <c r="J94" s="17" t="s">
        <v>382</v>
      </c>
    </row>
    <row r="95" spans="1:10" x14ac:dyDescent="0.2">
      <c r="J95" s="17" t="s">
        <v>108</v>
      </c>
    </row>
    <row r="96" spans="1:10" x14ac:dyDescent="0.2">
      <c r="J96" s="17" t="s">
        <v>113</v>
      </c>
    </row>
    <row r="97" spans="10:10" x14ac:dyDescent="0.2">
      <c r="J97" s="17" t="s">
        <v>291</v>
      </c>
    </row>
    <row r="98" spans="10:10" x14ac:dyDescent="0.2">
      <c r="J98" s="17" t="s">
        <v>296</v>
      </c>
    </row>
    <row r="99" spans="10:10" x14ac:dyDescent="0.2">
      <c r="J99" s="17" t="s">
        <v>300</v>
      </c>
    </row>
    <row r="100" spans="10:10" x14ac:dyDescent="0.2">
      <c r="J100" s="17" t="s">
        <v>304</v>
      </c>
    </row>
    <row r="102" spans="10:10" x14ac:dyDescent="0.2">
      <c r="J102" t="s">
        <v>383</v>
      </c>
    </row>
    <row r="103" spans="10:10" x14ac:dyDescent="0.2">
      <c r="J103" s="22" t="s">
        <v>384</v>
      </c>
    </row>
    <row r="104" spans="10:10" x14ac:dyDescent="0.2">
      <c r="J104" s="22" t="s">
        <v>385</v>
      </c>
    </row>
    <row r="105" spans="10:10" x14ac:dyDescent="0.2">
      <c r="J105" s="22" t="s">
        <v>386</v>
      </c>
    </row>
    <row r="106" spans="10:10" x14ac:dyDescent="0.2">
      <c r="J106" s="22" t="s">
        <v>387</v>
      </c>
    </row>
    <row r="107" spans="10:10" x14ac:dyDescent="0.2">
      <c r="J107" s="19" t="s">
        <v>129</v>
      </c>
    </row>
    <row r="108" spans="10:10" x14ac:dyDescent="0.2">
      <c r="J108" s="13" t="s">
        <v>133</v>
      </c>
    </row>
    <row r="109" spans="10:10" x14ac:dyDescent="0.2">
      <c r="J109" s="17" t="s">
        <v>39</v>
      </c>
    </row>
    <row r="110" spans="10:10" x14ac:dyDescent="0.2">
      <c r="J110" s="17" t="s">
        <v>41</v>
      </c>
    </row>
    <row r="111" spans="10:10" x14ac:dyDescent="0.2">
      <c r="J111" s="17" t="s">
        <v>35</v>
      </c>
    </row>
    <row r="112" spans="10:10" x14ac:dyDescent="0.2">
      <c r="J112" t="s">
        <v>439</v>
      </c>
    </row>
  </sheetData>
  <phoneticPr fontId="20" type="noConversion"/>
  <conditionalFormatting sqref="A1:A1048576">
    <cfRule type="duplicateValues" dxfId="12" priority="1"/>
  </conditionalFormatting>
  <conditionalFormatting sqref="A2:A22">
    <cfRule type="duplicateValues" dxfId="11" priority="12"/>
  </conditionalFormatting>
  <conditionalFormatting sqref="A79 A24:A53">
    <cfRule type="duplicateValues" dxfId="10" priority="8"/>
    <cfRule type="duplicateValues" dxfId="9" priority="9"/>
    <cfRule type="duplicateValues" dxfId="8" priority="10"/>
  </conditionalFormatting>
  <conditionalFormatting sqref="A79 A48:A53 A23:A44">
    <cfRule type="duplicateValues" dxfId="7" priority="11"/>
  </conditionalFormatting>
  <conditionalFormatting sqref="A80 A54:A60">
    <cfRule type="duplicateValues" dxfId="6" priority="5"/>
    <cfRule type="duplicateValues" dxfId="5" priority="6"/>
  </conditionalFormatting>
  <conditionalFormatting sqref="A80 A54:A66">
    <cfRule type="duplicateValues" dxfId="4" priority="7"/>
  </conditionalFormatting>
  <conditionalFormatting sqref="A80 A54:A78">
    <cfRule type="duplicateValues" dxfId="3" priority="4"/>
  </conditionalFormatting>
  <conditionalFormatting sqref="A89:A1048576 A1:A83">
    <cfRule type="duplicateValues" dxfId="2" priority="2"/>
  </conditionalFormatting>
  <conditionalFormatting sqref="J74">
    <cfRule type="duplicateValues" dxfId="1" priority="3"/>
  </conditionalFormatting>
  <dataValidations count="2">
    <dataValidation type="list" allowBlank="1" showInputMessage="1" showErrorMessage="1" sqref="A84:A88 E70" xr:uid="{E4B0464D-5463-D94C-8BC4-48A43EC9048B}">
      <formula1>$A$2:$A$88</formula1>
    </dataValidation>
    <dataValidation type="list" allowBlank="1" showInputMessage="1" showErrorMessage="1" sqref="J97:J100" xr:uid="{60E75443-15DB-A545-A8E3-B00733B08FCF}">
      <formula1>$J$2:$J$216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9D015-AA17-9945-AA26-F562185BAED9}">
  <dimension ref="A1:H21"/>
  <sheetViews>
    <sheetView zoomScale="115" workbookViewId="0">
      <pane ySplit="1" topLeftCell="A2" activePane="bottomLeft" state="frozen"/>
      <selection activeCell="F1" sqref="F1"/>
      <selection pane="bottomLeft" activeCell="A17" sqref="A17"/>
    </sheetView>
  </sheetViews>
  <sheetFormatPr baseColWidth="10" defaultColWidth="10.83203125" defaultRowHeight="16" x14ac:dyDescent="0.2"/>
  <sheetData>
    <row r="1" spans="1:8" s="3" customFormat="1" x14ac:dyDescent="0.2">
      <c r="A1" s="3" t="s">
        <v>5</v>
      </c>
      <c r="B1" s="3" t="s">
        <v>33</v>
      </c>
      <c r="C1" s="3" t="s">
        <v>388</v>
      </c>
      <c r="D1" s="3" t="s">
        <v>33</v>
      </c>
      <c r="E1" s="3" t="s">
        <v>388</v>
      </c>
      <c r="F1" s="3" t="s">
        <v>7</v>
      </c>
      <c r="G1" s="3" t="s">
        <v>311</v>
      </c>
    </row>
    <row r="2" spans="1:8" x14ac:dyDescent="0.2">
      <c r="A2">
        <v>41360</v>
      </c>
      <c r="B2" s="1">
        <v>20</v>
      </c>
      <c r="C2">
        <v>2461</v>
      </c>
      <c r="D2">
        <v>80</v>
      </c>
      <c r="E2" s="1">
        <v>1541</v>
      </c>
      <c r="F2">
        <v>100</v>
      </c>
    </row>
    <row r="3" spans="1:8" x14ac:dyDescent="0.2">
      <c r="A3">
        <v>41370</v>
      </c>
      <c r="B3" s="1">
        <v>20</v>
      </c>
      <c r="C3">
        <v>2730</v>
      </c>
      <c r="D3">
        <v>80</v>
      </c>
      <c r="E3" s="1">
        <v>1630</v>
      </c>
      <c r="F3">
        <v>100</v>
      </c>
    </row>
    <row r="4" spans="1:8" x14ac:dyDescent="0.2">
      <c r="A4">
        <v>41387</v>
      </c>
      <c r="B4" s="1">
        <v>20</v>
      </c>
      <c r="C4">
        <v>2755</v>
      </c>
      <c r="D4">
        <v>80</v>
      </c>
      <c r="E4" s="1">
        <v>1645</v>
      </c>
      <c r="F4">
        <v>100</v>
      </c>
    </row>
    <row r="5" spans="1:8" x14ac:dyDescent="0.2">
      <c r="A5">
        <v>42566</v>
      </c>
      <c r="B5" s="1">
        <v>20</v>
      </c>
      <c r="C5">
        <v>3711</v>
      </c>
      <c r="D5">
        <v>140</v>
      </c>
      <c r="E5" s="1">
        <v>1829</v>
      </c>
      <c r="F5">
        <v>150</v>
      </c>
      <c r="H5" s="3"/>
    </row>
    <row r="6" spans="1:8" x14ac:dyDescent="0.2">
      <c r="A6">
        <v>41384</v>
      </c>
      <c r="B6">
        <v>20</v>
      </c>
      <c r="C6">
        <v>2443</v>
      </c>
      <c r="D6">
        <v>80</v>
      </c>
      <c r="E6">
        <v>1510</v>
      </c>
      <c r="F6">
        <v>100</v>
      </c>
    </row>
    <row r="7" spans="1:8" x14ac:dyDescent="0.2">
      <c r="A7">
        <v>41378</v>
      </c>
      <c r="B7">
        <v>20</v>
      </c>
      <c r="C7">
        <v>3056</v>
      </c>
      <c r="D7">
        <v>80</v>
      </c>
      <c r="E7">
        <v>1787</v>
      </c>
      <c r="F7">
        <v>100</v>
      </c>
    </row>
    <row r="8" spans="1:8" x14ac:dyDescent="0.2">
      <c r="A8">
        <v>41368</v>
      </c>
      <c r="B8">
        <v>20</v>
      </c>
      <c r="C8">
        <v>2877</v>
      </c>
      <c r="D8">
        <v>80</v>
      </c>
      <c r="E8">
        <v>1650</v>
      </c>
      <c r="F8">
        <v>100</v>
      </c>
    </row>
    <row r="9" spans="1:8" x14ac:dyDescent="0.2">
      <c r="A9">
        <v>41361</v>
      </c>
      <c r="B9">
        <v>20</v>
      </c>
      <c r="D9">
        <v>80</v>
      </c>
      <c r="F9">
        <v>100</v>
      </c>
      <c r="G9" t="s">
        <v>389</v>
      </c>
    </row>
    <row r="10" spans="1:8" x14ac:dyDescent="0.2">
      <c r="A10">
        <v>42563</v>
      </c>
      <c r="B10" s="1">
        <v>20</v>
      </c>
      <c r="C10">
        <v>3696</v>
      </c>
      <c r="D10">
        <v>140</v>
      </c>
      <c r="E10" s="1">
        <v>1858</v>
      </c>
      <c r="F10">
        <v>150</v>
      </c>
    </row>
    <row r="11" spans="1:8" x14ac:dyDescent="0.2">
      <c r="A11">
        <v>41359</v>
      </c>
      <c r="B11">
        <v>20</v>
      </c>
      <c r="C11">
        <v>2963</v>
      </c>
      <c r="D11">
        <v>80</v>
      </c>
      <c r="E11">
        <v>1726</v>
      </c>
      <c r="F11">
        <v>100</v>
      </c>
    </row>
    <row r="12" spans="1:8" x14ac:dyDescent="0.2">
      <c r="A12">
        <v>41383</v>
      </c>
      <c r="B12">
        <v>20</v>
      </c>
      <c r="C12">
        <v>2450</v>
      </c>
      <c r="D12">
        <v>80</v>
      </c>
      <c r="E12">
        <v>1516</v>
      </c>
      <c r="F12">
        <v>100</v>
      </c>
    </row>
    <row r="13" spans="1:8" x14ac:dyDescent="0.2">
      <c r="A13">
        <v>41366</v>
      </c>
      <c r="B13">
        <v>20</v>
      </c>
      <c r="C13">
        <v>2432</v>
      </c>
      <c r="D13">
        <v>80</v>
      </c>
      <c r="E13">
        <v>1405</v>
      </c>
      <c r="F13">
        <v>100</v>
      </c>
    </row>
    <row r="14" spans="1:8" x14ac:dyDescent="0.2">
      <c r="A14">
        <v>41362</v>
      </c>
      <c r="B14">
        <v>20</v>
      </c>
      <c r="C14">
        <v>2742</v>
      </c>
      <c r="D14">
        <v>80</v>
      </c>
      <c r="E14">
        <v>1650</v>
      </c>
      <c r="F14">
        <v>100</v>
      </c>
    </row>
    <row r="15" spans="1:8" x14ac:dyDescent="0.2">
      <c r="A15">
        <v>42564</v>
      </c>
      <c r="B15" s="1">
        <v>20</v>
      </c>
      <c r="C15">
        <v>3711</v>
      </c>
      <c r="D15">
        <v>140</v>
      </c>
      <c r="E15" s="1">
        <v>1839</v>
      </c>
      <c r="F15">
        <v>150</v>
      </c>
    </row>
    <row r="16" spans="1:8" x14ac:dyDescent="0.2">
      <c r="A16">
        <v>41374</v>
      </c>
      <c r="B16">
        <v>20</v>
      </c>
      <c r="C16">
        <v>2964</v>
      </c>
      <c r="D16">
        <v>80</v>
      </c>
      <c r="E16">
        <v>1756</v>
      </c>
      <c r="F16">
        <v>100</v>
      </c>
    </row>
    <row r="17" spans="1:7" x14ac:dyDescent="0.2">
      <c r="A17">
        <v>42562</v>
      </c>
      <c r="B17">
        <v>20</v>
      </c>
      <c r="C17">
        <v>3682</v>
      </c>
      <c r="D17">
        <v>140</v>
      </c>
      <c r="E17">
        <v>1844</v>
      </c>
      <c r="F17">
        <v>150</v>
      </c>
    </row>
    <row r="18" spans="1:7" x14ac:dyDescent="0.2">
      <c r="A18">
        <v>42565</v>
      </c>
      <c r="B18">
        <v>20</v>
      </c>
      <c r="C18">
        <v>3704</v>
      </c>
      <c r="D18">
        <v>140</v>
      </c>
      <c r="E18">
        <v>1846</v>
      </c>
      <c r="F18">
        <v>150</v>
      </c>
    </row>
    <row r="19" spans="1:7" x14ac:dyDescent="0.2">
      <c r="A19">
        <v>41379</v>
      </c>
      <c r="B19">
        <v>20</v>
      </c>
      <c r="C19">
        <v>2759</v>
      </c>
      <c r="D19">
        <v>80</v>
      </c>
      <c r="E19">
        <v>1641</v>
      </c>
      <c r="F19">
        <v>100</v>
      </c>
    </row>
    <row r="20" spans="1:7" x14ac:dyDescent="0.2">
      <c r="A20">
        <v>41382</v>
      </c>
      <c r="B20">
        <v>20</v>
      </c>
      <c r="C20">
        <v>2465</v>
      </c>
      <c r="D20">
        <v>80</v>
      </c>
      <c r="E20">
        <v>1536</v>
      </c>
      <c r="F20">
        <v>100</v>
      </c>
    </row>
    <row r="21" spans="1:7" x14ac:dyDescent="0.2">
      <c r="A21" s="5"/>
      <c r="B21" s="5"/>
      <c r="C21" s="5"/>
      <c r="D21" s="5"/>
      <c r="E21" s="5"/>
      <c r="F21" s="5"/>
      <c r="G21" t="s">
        <v>390</v>
      </c>
    </row>
  </sheetData>
  <conditionalFormatting sqref="A2:A28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B5075CD-A49A-5540-A266-B3E166ADAC53}">
          <x14:formula1>
            <xm:f>VALIDATION!$A$2:$A$20</xm:f>
          </x14:formula1>
          <xm:sqref>A22:A29</xm:sqref>
        </x14:dataValidation>
        <x14:dataValidation type="list" allowBlank="1" showInputMessage="1" showErrorMessage="1" xr:uid="{DC468EAC-1B42-0D44-A601-0E6BBAC41E5E}">
          <x14:formula1>
            <xm:f>VALIDATION!$A$2:$A$21</xm:f>
          </x14:formula1>
          <xm:sqref>A2:A21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À faire</vt:lpstr>
      <vt:lpstr>level_logger_calibration_all</vt:lpstr>
      <vt:lpstr>VALIDATION</vt:lpstr>
      <vt:lpstr>CALIBRATION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Alizée Girard</dc:creator>
  <cp:keywords/>
  <dc:description/>
  <cp:lastModifiedBy>Alizée Girard</cp:lastModifiedBy>
  <cp:revision/>
  <dcterms:created xsi:type="dcterms:W3CDTF">2025-04-14T16:35:09Z</dcterms:created>
  <dcterms:modified xsi:type="dcterms:W3CDTF">2026-01-22T22:08:34Z</dcterms:modified>
  <cp:category/>
  <cp:contentStatus/>
</cp:coreProperties>
</file>