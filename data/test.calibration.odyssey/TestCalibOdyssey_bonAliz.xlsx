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test.calibration.odyssey/"/>
    </mc:Choice>
  </mc:AlternateContent>
  <xr:revisionPtr revIDLastSave="0" documentId="13_ncr:1_{873680D4-50FB-8D4F-A56F-1914F08FB133}" xr6:coauthVersionLast="47" xr6:coauthVersionMax="47" xr10:uidLastSave="{00000000-0000-0000-0000-000000000000}"/>
  <bookViews>
    <workbookView xWindow="4320" yWindow="740" windowWidth="25080" windowHeight="17240" activeTab="2" xr2:uid="{1EE77313-9E2D-4DF7-905B-C00D2593C2FB}"/>
  </bookViews>
  <sheets>
    <sheet name="Feuil1" sheetId="1" r:id="rId1"/>
    <sheet name="ALIZ_vérif_25mars" sheetId="3" r:id="rId2"/>
    <sheet name="ALIZ_pré_25ma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M4" i="3"/>
  <c r="L4" i="3"/>
  <c r="E10" i="3"/>
  <c r="E36" i="3"/>
  <c r="E35" i="3"/>
  <c r="E33" i="3"/>
  <c r="L33" i="3" s="1"/>
  <c r="E32" i="3"/>
  <c r="L32" i="3" s="1"/>
  <c r="E30" i="3"/>
  <c r="E29" i="3"/>
  <c r="L29" i="3" s="1"/>
  <c r="E27" i="3"/>
  <c r="I26" i="3" s="1"/>
  <c r="E26" i="3"/>
  <c r="L26" i="3" s="1"/>
  <c r="E24" i="3"/>
  <c r="L24" i="3" s="1"/>
  <c r="E23" i="3"/>
  <c r="L23" i="3" s="1"/>
  <c r="E21" i="3"/>
  <c r="E20" i="3"/>
  <c r="E18" i="3"/>
  <c r="L18" i="3" s="1"/>
  <c r="E17" i="3"/>
  <c r="L17" i="3" s="1"/>
  <c r="E15" i="3"/>
  <c r="L15" i="3" s="1"/>
  <c r="E14" i="3"/>
  <c r="L14" i="3" s="1"/>
  <c r="E12" i="3"/>
  <c r="L12" i="3" s="1"/>
  <c r="E11" i="3"/>
  <c r="L11" i="3" s="1"/>
  <c r="E9" i="3"/>
  <c r="E8" i="3"/>
  <c r="L8" i="3" s="1"/>
  <c r="E6" i="3"/>
  <c r="E5" i="3"/>
  <c r="L5" i="3" s="1"/>
  <c r="E3" i="3"/>
  <c r="E2" i="3"/>
  <c r="L20" i="3"/>
  <c r="I32" i="3"/>
  <c r="L35" i="3"/>
  <c r="L36" i="3"/>
  <c r="C5" i="1"/>
  <c r="C4" i="1"/>
  <c r="C6" i="1"/>
  <c r="D6" i="1" s="1"/>
  <c r="P3" i="3"/>
  <c r="P5" i="3"/>
  <c r="P6" i="3"/>
  <c r="P8" i="3"/>
  <c r="P9" i="3"/>
  <c r="P10" i="3"/>
  <c r="P11" i="3"/>
  <c r="P12" i="3"/>
  <c r="P14" i="3"/>
  <c r="P15" i="3"/>
  <c r="P17" i="3"/>
  <c r="P18" i="3"/>
  <c r="P19" i="3"/>
  <c r="P20" i="3"/>
  <c r="P21" i="3"/>
  <c r="P23" i="3"/>
  <c r="P24" i="3"/>
  <c r="P26" i="3"/>
  <c r="P27" i="3"/>
  <c r="P29" i="3"/>
  <c r="P30" i="3"/>
  <c r="P32" i="3"/>
  <c r="P33" i="3"/>
  <c r="P2" i="3"/>
  <c r="K34" i="3"/>
  <c r="P34" i="3" s="1"/>
  <c r="E6" i="1"/>
  <c r="K28" i="3"/>
  <c r="P28" i="3" s="1"/>
  <c r="K4" i="3"/>
  <c r="K7" i="3"/>
  <c r="P7" i="3" s="1"/>
  <c r="T37" i="3"/>
  <c r="S37" i="3"/>
  <c r="R37" i="3"/>
  <c r="T34" i="3"/>
  <c r="S34" i="3"/>
  <c r="R34" i="3"/>
  <c r="T31" i="3"/>
  <c r="S31" i="3"/>
  <c r="R31" i="3"/>
  <c r="T28" i="3"/>
  <c r="S28" i="3"/>
  <c r="R28" i="3"/>
  <c r="T25" i="3"/>
  <c r="S25" i="3"/>
  <c r="R25" i="3"/>
  <c r="T22" i="3"/>
  <c r="S22" i="3"/>
  <c r="R22" i="3"/>
  <c r="T19" i="3"/>
  <c r="S19" i="3"/>
  <c r="R19" i="3"/>
  <c r="T16" i="3"/>
  <c r="S16" i="3"/>
  <c r="R16" i="3"/>
  <c r="T13" i="3"/>
  <c r="S13" i="3"/>
  <c r="R13" i="3"/>
  <c r="T10" i="3"/>
  <c r="S10" i="3"/>
  <c r="R10" i="3"/>
  <c r="T7" i="3"/>
  <c r="S7" i="3"/>
  <c r="R7" i="3"/>
  <c r="T4" i="3"/>
  <c r="S4" i="3"/>
  <c r="R4" i="3"/>
  <c r="K13" i="3"/>
  <c r="P13" i="3" s="1"/>
  <c r="K16" i="3"/>
  <c r="P16" i="3" s="1"/>
  <c r="K25" i="3"/>
  <c r="P25" i="3" s="1"/>
  <c r="P35" i="3"/>
  <c r="P36" i="3"/>
  <c r="K37" i="3"/>
  <c r="P37" i="3"/>
  <c r="L21" i="3"/>
  <c r="L2" i="3"/>
  <c r="K31" i="3"/>
  <c r="P31" i="3" s="1"/>
  <c r="K22" i="3"/>
  <c r="P22" i="3" s="1"/>
  <c r="K19" i="3"/>
  <c r="K10" i="3"/>
  <c r="I35" i="3" l="1"/>
  <c r="I36" i="3" s="1"/>
  <c r="I37" i="3" s="1"/>
  <c r="I23" i="3"/>
  <c r="J23" i="3" s="1"/>
  <c r="J24" i="3" s="1"/>
  <c r="J25" i="3" s="1"/>
  <c r="I20" i="3"/>
  <c r="J20" i="3" s="1"/>
  <c r="I17" i="3"/>
  <c r="I14" i="3"/>
  <c r="J14" i="3" s="1"/>
  <c r="J15" i="3" s="1"/>
  <c r="J16" i="3" s="1"/>
  <c r="F6" i="1"/>
  <c r="I8" i="3"/>
  <c r="J8" i="3" s="1"/>
  <c r="J9" i="3" s="1"/>
  <c r="J10" i="3" s="1"/>
  <c r="L9" i="3"/>
  <c r="L30" i="3"/>
  <c r="I29" i="3"/>
  <c r="L6" i="3"/>
  <c r="I5" i="3"/>
  <c r="L3" i="3"/>
  <c r="I2" i="3"/>
  <c r="J2" i="3" s="1"/>
  <c r="I24" i="3"/>
  <c r="I25" i="3" s="1"/>
  <c r="E25" i="3" s="1"/>
  <c r="L25" i="3" s="1"/>
  <c r="M25" i="3" s="1"/>
  <c r="Q25" i="3" s="1"/>
  <c r="I9" i="3"/>
  <c r="I10" i="3" s="1"/>
  <c r="L10" i="3" s="1"/>
  <c r="M10" i="3" s="1"/>
  <c r="Q10" i="3" s="1"/>
  <c r="I15" i="3"/>
  <c r="I16" i="3" s="1"/>
  <c r="E16" i="3" s="1"/>
  <c r="L16" i="3" s="1"/>
  <c r="M16" i="3" s="1"/>
  <c r="Q16" i="3" s="1"/>
  <c r="I3" i="3"/>
  <c r="I4" i="3" s="1"/>
  <c r="J17" i="3"/>
  <c r="J18" i="3" s="1"/>
  <c r="J19" i="3" s="1"/>
  <c r="I18" i="3"/>
  <c r="I19" i="3" s="1"/>
  <c r="J32" i="3"/>
  <c r="J33" i="3" s="1"/>
  <c r="J34" i="3" s="1"/>
  <c r="I33" i="3"/>
  <c r="I34" i="3" s="1"/>
  <c r="J26" i="3"/>
  <c r="J27" i="3" s="1"/>
  <c r="J28" i="3" s="1"/>
  <c r="I27" i="3"/>
  <c r="I28" i="3" s="1"/>
  <c r="I11" i="3"/>
  <c r="L27" i="3"/>
  <c r="J35" i="3"/>
  <c r="J36" i="3" s="1"/>
  <c r="J37" i="3" s="1"/>
  <c r="E37" i="3" s="1"/>
  <c r="L37" i="3" s="1"/>
  <c r="M37" i="3" s="1"/>
  <c r="Q37" i="3" s="1"/>
  <c r="I21" i="3"/>
  <c r="I22" i="3" s="1"/>
  <c r="E19" i="3" l="1"/>
  <c r="L19" i="3" s="1"/>
  <c r="M19" i="3" s="1"/>
  <c r="Q19" i="3" s="1"/>
  <c r="E34" i="3"/>
  <c r="L34" i="3" s="1"/>
  <c r="M34" i="3" s="1"/>
  <c r="Q34" i="3" s="1"/>
  <c r="J29" i="3"/>
  <c r="J30" i="3" s="1"/>
  <c r="J31" i="3" s="1"/>
  <c r="I30" i="3"/>
  <c r="I31" i="3" s="1"/>
  <c r="E31" i="3" s="1"/>
  <c r="L31" i="3" s="1"/>
  <c r="M31" i="3" s="1"/>
  <c r="Q31" i="3" s="1"/>
  <c r="I6" i="3"/>
  <c r="I7" i="3" s="1"/>
  <c r="E7" i="3" s="1"/>
  <c r="L7" i="3" s="1"/>
  <c r="M7" i="3" s="1"/>
  <c r="Q7" i="3" s="1"/>
  <c r="J5" i="3"/>
  <c r="J6" i="3" s="1"/>
  <c r="J7" i="3" s="1"/>
  <c r="J3" i="3"/>
  <c r="J4" i="3" s="1"/>
  <c r="E4" i="3" s="1"/>
  <c r="Q4" i="3" s="1"/>
  <c r="E28" i="3"/>
  <c r="L28" i="3" s="1"/>
  <c r="M28" i="3" s="1"/>
  <c r="Q28" i="3" s="1"/>
  <c r="V28" i="3" s="1"/>
  <c r="J21" i="3"/>
  <c r="J22" i="3" s="1"/>
  <c r="E22" i="3" s="1"/>
  <c r="L22" i="3" s="1"/>
  <c r="M22" i="3" s="1"/>
  <c r="Q22" i="3" s="1"/>
  <c r="I12" i="3"/>
  <c r="I13" i="3" s="1"/>
  <c r="J11" i="3"/>
  <c r="J12" i="3" s="1"/>
  <c r="J13" i="3" s="1"/>
  <c r="E13" i="3" l="1"/>
  <c r="L13" i="3" s="1"/>
  <c r="M13" i="3" s="1"/>
  <c r="Q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tc={66BE830F-F59C-B24F-BEF5-1DD8244939D9}</author>
    <author>tc={01A7F6FD-AE14-5F41-81E9-126F1930465B}</author>
    <author>tc={8DB26CCD-8AD9-7645-A7C7-3221A05CD42A}</author>
    <author>tc={18CD5DC0-1D83-5A41-ADBC-463B62EF2759}</author>
  </authors>
  <commentList>
    <comment ref="E1" authorId="0" shapeId="0" xr:uid="{66BE830F-F59C-B24F-BEF5-1DD8244939D9}">
      <text>
        <t xml:space="preserve"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ne pas replacer, créer une colonne dans R et comparer les valeurs
Réponse :
    de la catégorie offset measurement
</t>
      </text>
    </comment>
    <comment ref="B2" authorId="1" shapeId="0" xr:uid="{01A7F6FD-AE14-5F41-81E9-126F1930465B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(comment cette mesure est-celle obtenue ?)</t>
      </text>
    </comment>
    <comment ref="B4" authorId="2" shapeId="0" xr:uid="{8DB26CCD-8AD9-7645-A7C7-3221A05CD42A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donnée obtenue environ au même moment que la mesure au bulleur // à obtenir après compilation des données et recherche du moment correspondant dans le fichier de log</t>
      </text>
    </comment>
    <comment ref="D4" authorId="3" shapeId="0" xr:uid="{18CD5DC0-1D83-5A41-ADBC-463B62EF2759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trouvée dans les données à l’heure du bulleur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<sst xmlns="http://schemas.openxmlformats.org/spreadsheetml/2006/main" count="413" uniqueCount="121">
  <si>
    <t>Prof nappe odyssey (CM)</t>
  </si>
  <si>
    <t>prof nappe bulleur (cm)</t>
  </si>
  <si>
    <t>Offset (cm)</t>
  </si>
  <si>
    <t>valeur</t>
  </si>
  <si>
    <t>longueur de corde en négatif</t>
  </si>
  <si>
    <t>le 1044 c'est genre tu es ou avec ta charge hydrolique parapport à la charge électrique de l'eau -&gt; ta mesure calibrée en mm donc divisée par 10(autres cellules) et + 39,8 c'est distance (ici additionnée)</t>
  </si>
  <si>
    <t>fichier.uid</t>
  </si>
  <si>
    <t>site.id</t>
  </si>
  <si>
    <t>well.uid</t>
  </si>
  <si>
    <t>trmnt.uid</t>
  </si>
  <si>
    <t>lab.probe.id</t>
  </si>
  <si>
    <t>probe.uid</t>
  </si>
  <si>
    <t>probe.brand</t>
  </si>
  <si>
    <t>cal.length.cm</t>
  </si>
  <si>
    <t>cal.length.mm</t>
  </si>
  <si>
    <t>cal.order</t>
  </si>
  <si>
    <t>cal.value</t>
  </si>
  <si>
    <t>comment</t>
  </si>
  <si>
    <t>day.begining.aaaa.mm.dd.hh.mm</t>
  </si>
  <si>
    <t>day.end.aaaa.mm.dd.hh.mm</t>
  </si>
  <si>
    <t>distance.m</t>
  </si>
  <si>
    <t>out.long.tuyau.sol.cm</t>
  </si>
  <si>
    <t>pt.haut.cm</t>
  </si>
  <si>
    <t>pt.bas1.cm</t>
  </si>
  <si>
    <t>pt.bas2.cm</t>
  </si>
  <si>
    <t>pt.bas3.cm</t>
  </si>
  <si>
    <t>caduque.long.fil.cm</t>
  </si>
  <si>
    <t>long.fil.cm</t>
  </si>
  <si>
    <t>bulleur.1.cm</t>
  </si>
  <si>
    <t>bulleur.1.date.aaaa-mm-dd</t>
  </si>
  <si>
    <t>bulleur.1.time.tz.orig</t>
  </si>
  <si>
    <t>bulleur.1.date.time.UTC.0</t>
  </si>
  <si>
    <t>bulleur.1.obs</t>
  </si>
  <si>
    <t>cal.station_id</t>
  </si>
  <si>
    <t>bulleur.2.cm</t>
  </si>
  <si>
    <t>bulleur.2.date.aaaa-mm-dd</t>
  </si>
  <si>
    <t>bulleur.2.time.tz.orig</t>
  </si>
  <si>
    <t>bulleur.2.obs</t>
  </si>
  <si>
    <t>41372_20241125</t>
  </si>
  <si>
    <t>STH</t>
  </si>
  <si>
    <t>A2.10m.2024</t>
  </si>
  <si>
    <t>STH.A2</t>
  </si>
  <si>
    <t>ODYSSEY</t>
  </si>
  <si>
    <t>2024-11-14T14:00:01Z</t>
  </si>
  <si>
    <t>41376_20241125</t>
  </si>
  <si>
    <t>A2.1m.2024</t>
  </si>
  <si>
    <t>NA</t>
  </si>
  <si>
    <t>Pris l'eau</t>
  </si>
  <si>
    <t>41379_20241125</t>
  </si>
  <si>
    <t>A2.30m.2024</t>
  </si>
  <si>
    <t>41361_20241125</t>
  </si>
  <si>
    <t>A2.7m.2024</t>
  </si>
  <si>
    <t>42565_20241125</t>
  </si>
  <si>
    <t>C.10m.2024</t>
  </si>
  <si>
    <t>STH.C</t>
  </si>
  <si>
    <t>41359_20241125</t>
  </si>
  <si>
    <t>C.1m.2024</t>
  </si>
  <si>
    <t>42564_20241125</t>
  </si>
  <si>
    <t>C.30m.2024</t>
  </si>
  <si>
    <t>42566_20241125</t>
  </si>
  <si>
    <t>C.7m.2024</t>
  </si>
  <si>
    <t>OUI, c'est la bonne mesure</t>
  </si>
  <si>
    <t>41362_20241125</t>
  </si>
  <si>
    <t>D3.10m.2024</t>
  </si>
  <si>
    <t>STH.D3</t>
  </si>
  <si>
    <t>41387_20241125</t>
  </si>
  <si>
    <t>D3.1m.2024</t>
  </si>
  <si>
    <t>41366_20241125</t>
  </si>
  <si>
    <t>D3.30m.2024</t>
  </si>
  <si>
    <t>41370_20241125</t>
  </si>
  <si>
    <t>D3.7m.2024</t>
  </si>
  <si>
    <t>10279769_20250106</t>
  </si>
  <si>
    <t>INK</t>
  </si>
  <si>
    <t>ED.NA.2024</t>
  </si>
  <si>
    <t>INK.ED</t>
  </si>
  <si>
    <t>HOBO</t>
  </si>
  <si>
    <t>Selon données papier ?/ INITIALEMENT pris en incluant la sonde et en n'étant pas précis au niveau du couvercle arrodi. Voir photos -&gt; couvercle arrondi remesuré (14 janvier) au niveau de la LIGNE de moulage bien visible.</t>
  </si>
  <si>
    <t>2024-07-06T19:00:01Z</t>
  </si>
  <si>
    <t>JLG</t>
  </si>
  <si>
    <t>20573974_20250106</t>
  </si>
  <si>
    <t>EB.NA.2024</t>
  </si>
  <si>
    <t>INK.EB</t>
  </si>
  <si>
    <t>Selon courriel de Benoît (BSH), 29 juillet 2024. Pas besoin de couper pour rabattement de la nappe; puis installé 3 jours avant remise du LL.</t>
  </si>
  <si>
    <t>2024-07-29T13:00:01Z</t>
  </si>
  <si>
    <t>BSH</t>
  </si>
  <si>
    <t>10279777_20250106</t>
  </si>
  <si>
    <t>EC.NA.2024</t>
  </si>
  <si>
    <t>INK.EC</t>
  </si>
  <si>
    <t>Selon données papier (oui vérif 14 janv'25) / + bas que 180,5 / INITIALEMENT pris en incluant la sonde. Remesuré (14 janvier).</t>
  </si>
  <si>
    <t>2024-11-19T13:00:01Z</t>
  </si>
  <si>
    <t>AG</t>
  </si>
  <si>
    <t>20853328_20250106</t>
  </si>
  <si>
    <t>EA.m4m.2024</t>
  </si>
  <si>
    <t>INK.EA</t>
  </si>
  <si>
    <t>Selon courriel de Benoît, 29 juillet 2024. Pas besoin de couper pour rabattement de la nappe; puis installé 3 jours avant remise du LL.</t>
  </si>
  <si>
    <t>Selon données papier ?</t>
  </si>
  <si>
    <t>2024-07-06T18:00:01Z</t>
  </si>
  <si>
    <t>cal.value_x</t>
  </si>
  <si>
    <t>a (graph)</t>
  </si>
  <si>
    <t>b (graph)</t>
  </si>
  <si>
    <t>calcul manuel du a</t>
  </si>
  <si>
    <t>calcul manuel du b</t>
  </si>
  <si>
    <t>prof_nappe_odyssey_cm_+out</t>
  </si>
  <si>
    <t>prof_nappe_bulleur_cm_+out</t>
  </si>
  <si>
    <t>long_positive_cal.length_mm</t>
  </si>
  <si>
    <t>long_negative_cal.length_mm_y</t>
  </si>
  <si>
    <t>formule issue du graph (bon)</t>
  </si>
  <si>
    <t>pre_prof_nappe_odyssey_mm_to_cm</t>
  </si>
  <si>
    <t>measure_type</t>
  </si>
  <si>
    <t>calibration</t>
  </si>
  <si>
    <t>offset_measurement</t>
  </si>
  <si>
    <t>bulleur_negative__cm</t>
  </si>
  <si>
    <t>Notes</t>
  </si>
  <si>
    <t>Pris l'eau ? En tk dessicant mouillé</t>
  </si>
  <si>
    <t>long_Odyssey</t>
  </si>
  <si>
    <t>y = 0,4792x - 1637,7</t>
  </si>
  <si>
    <t>valeur abérante, la sonde bug ?</t>
  </si>
  <si>
    <t xml:space="preserve">UNITÉS </t>
  </si>
  <si>
    <t>y(MM) = x(?-&gt; mS/mm)*a(SU) + b (cm)</t>
  </si>
  <si>
    <t>SU*mm = mm</t>
  </si>
  <si>
    <t>non-résolu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</si>
</sst>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14" fontId="2" fillId="0" borderId="0" xfId="0" applyNumberFormat="1" applyFont="1"/>
    <xf numFmtId="21" fontId="2" fillId="0" borderId="0" xfId="0" applyNumberFormat="1" applyFont="1"/>
    <xf numFmtId="0" fontId="3" fillId="0" borderId="0" xfId="0" applyFont="1"/>
    <xf numFmtId="0" fontId="3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même formule mais avec la longueur</a:t>
            </a:r>
            <a:r>
              <a:rPr lang="fr-CA" baseline="0"/>
              <a:t> en négatif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6778515716341"/>
                  <c:y val="-0.22185536397943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Feuil1!$B$2:$B$3</c:f>
              <c:numCache>
                <c:formatCode>General</c:formatCode>
                <c:ptCount val="2"/>
                <c:pt idx="0">
                  <c:v>3745</c:v>
                </c:pt>
                <c:pt idx="1">
                  <c:v>2030</c:v>
                </c:pt>
              </c:numCache>
            </c:numRef>
          </c:xVal>
          <c:yVal>
            <c:numRef>
              <c:f>Feuil1!$C$2:$C$3</c:f>
              <c:numCache>
                <c:formatCode>General</c:formatCode>
                <c:ptCount val="2"/>
                <c:pt idx="0">
                  <c:v>-200</c:v>
                </c:pt>
                <c:pt idx="1">
                  <c:v>-1400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4-4935-8244-DB9A693E7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47216"/>
        <c:axId val="1864852016"/>
      </c:scatterChart>
      <c:valAx>
        <c:axId val="1864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52016"/>
        <c:crosses val="autoZero"/>
        <c:crossBetween val="midCat"/>
      </c:valAx>
      <c:valAx>
        <c:axId val="18648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4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formule que</a:t>
            </a:r>
            <a:r>
              <a:rPr lang="fr-CA" baseline="0"/>
              <a:t> Maryan et moi faisions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079482697275807"/>
                  <c:y val="-5.0266397749024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Feuil1!$A$7:$A$8</c:f>
              <c:numCache>
                <c:formatCode>General</c:formatCode>
                <c:ptCount val="2"/>
                <c:pt idx="0">
                  <c:v>200</c:v>
                </c:pt>
                <c:pt idx="1">
                  <c:v>1400</c:v>
                </c:pt>
              </c:numCache>
            </c:numRef>
          </c:xVal>
          <c:yVal>
            <c:numRef>
              <c:f>Feuil1!$B$7:$B$8</c:f>
              <c:numCache>
                <c:formatCode>General</c:formatCode>
                <c:ptCount val="2"/>
                <c:pt idx="0">
                  <c:v>3745</c:v>
                </c:pt>
                <c:pt idx="1">
                  <c:v>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B-4281-9388-602EB4BC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88912"/>
        <c:axId val="443983632"/>
      </c:scatterChart>
      <c:valAx>
        <c:axId val="4439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3632"/>
        <c:crosses val="autoZero"/>
        <c:crossBetween val="midCat"/>
      </c:valAx>
      <c:valAx>
        <c:axId val="4439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formule que</a:t>
            </a:r>
            <a:r>
              <a:rPr lang="fr-CA" baseline="0"/>
              <a:t> Maryan et moi faisions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079482697275807"/>
                  <c:y val="-5.02663977490244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Feuil1!$A$6:$A$8</c:f>
              <c:numCache>
                <c:formatCode>General</c:formatCode>
                <c:ptCount val="3"/>
                <c:pt idx="1">
                  <c:v>200</c:v>
                </c:pt>
                <c:pt idx="2">
                  <c:v>1400</c:v>
                </c:pt>
              </c:numCache>
            </c:numRef>
          </c:xVal>
          <c:yVal>
            <c:numRef>
              <c:f>Feuil1!$B$6:$B$8</c:f>
              <c:numCache>
                <c:formatCode>General</c:formatCode>
                <c:ptCount val="3"/>
                <c:pt idx="0">
                  <c:v>3238</c:v>
                </c:pt>
                <c:pt idx="1">
                  <c:v>3745</c:v>
                </c:pt>
                <c:pt idx="2">
                  <c:v>2035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C-1945-B540-A12B49E60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88912"/>
        <c:axId val="443983632"/>
      </c:scatterChart>
      <c:valAx>
        <c:axId val="4439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3632"/>
        <c:crosses val="autoZero"/>
        <c:crossBetween val="midCat"/>
      </c:valAx>
      <c:valAx>
        <c:axId val="4439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39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même formule mais avec la longueur</a:t>
            </a:r>
            <a:r>
              <a:rPr lang="fr-CA" baseline="0"/>
              <a:t> en négatif (bon)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>
        <c:manualLayout>
          <c:layoutTarget val="inner"/>
          <c:xMode val="edge"/>
          <c:yMode val="edge"/>
          <c:x val="0.10837761813637838"/>
          <c:y val="0.18744765815164194"/>
          <c:w val="0.85146301931382085"/>
          <c:h val="0.7883828382838283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86778515716341"/>
                  <c:y val="-0.22185536397943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ALIZ_vérif_25mars!$D$17:$D$18</c:f>
              <c:numCache>
                <c:formatCode>General</c:formatCode>
                <c:ptCount val="2"/>
                <c:pt idx="0">
                  <c:v>1748</c:v>
                </c:pt>
                <c:pt idx="1">
                  <c:v>3000</c:v>
                </c:pt>
              </c:numCache>
            </c:numRef>
          </c:xVal>
          <c:yVal>
            <c:numRef>
              <c:f>ALIZ_vérif_25mars!$E$17:$E$18</c:f>
              <c:numCache>
                <c:formatCode>General</c:formatCode>
                <c:ptCount val="2"/>
                <c:pt idx="0">
                  <c:v>-800</c:v>
                </c:pt>
                <c:pt idx="1">
                  <c:v>-200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1-F24A-9227-4D001228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47216"/>
        <c:axId val="1864852016"/>
      </c:scatterChart>
      <c:valAx>
        <c:axId val="186484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52016"/>
        <c:crosses val="autoZero"/>
        <c:crossBetween val="midCat"/>
      </c:valAx>
      <c:valAx>
        <c:axId val="18648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84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498475</xdr:colOff>
      <xdr:row>9</xdr:row>
      <xdr:rowOff>185737</xdr:rowOff>
    </xdr:from>
    <xdr:to>
      <xdr:col>15</xdr:col>
      <xdr:colOff>327025</xdr:colOff>
      <xdr:row>25</xdr:row>
      <xdr:rowOff>23812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4AA1A95-A576-05AA-3E87-07C8D5F54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</xdr:colOff>
      <xdr:row>10</xdr:row>
      <xdr:rowOff>2856</xdr:rowOff>
    </xdr:from>
    <xdr:to>
      <xdr:col>9</xdr:col>
      <xdr:colOff>142875</xdr:colOff>
      <xdr:row>34</xdr:row>
      <xdr:rowOff>133349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299D3D2-5272-7C8F-B2CF-711A87C29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263909</xdr:colOff>
      <xdr:row>38</xdr:row>
      <xdr:rowOff>17864</xdr:rowOff>
    </xdr:from>
    <xdr:to>
      <xdr:col>23</xdr:col>
      <xdr:colOff>776989</xdr:colOff>
      <xdr:row>62</xdr:row>
      <xdr:rowOff>46757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B320B8C-A3FD-3B4B-AD8B-063844359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1521590</xdr:colOff>
      <xdr:row>43</xdr:row>
      <xdr:rowOff>6668</xdr:rowOff>
    </xdr:from>
    <xdr:to>
      <xdr:col>22</xdr:col>
      <xdr:colOff>255534</xdr:colOff>
      <xdr:row>70</xdr:row>
      <xdr:rowOff>40613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F03079-7DE1-A54C-B8CD-CE1F99EFA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izée Girard" id="{DD072516-F036-574B-83AE-DC18292DFDD7}" userId="2f7d10fd379dfdaf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NA</v>
    <v>2</v>
    <v>5</v>
    <v>5</v>
  </rv>
  <rv s="1">
    <v>2</v>
    <v>1</v>
    <v>6</v>
  </rv>
  <rv s="1">
    <v>2</v>
    <v>1</v>
    <v>3</v>
  </rv>
  <rv s="1">
    <v>2</v>
    <v>1</v>
    <v>4</v>
  </rv>
</rvData>
</file>

<file path=xl/richData/rdrichvaluestructure.xml><?xml version="1.0" encoding="utf-8"?>
<rvStructures xmlns="http://schemas.microsoft.com/office/spreadsheetml/2017/richdata" count="2">
  <s t="_error">
    <k n="argument" t="s"/>
    <k n="errorType" t="i"/>
    <k n="ptg" t="i"/>
    <k n="subType" t="i"/>
  </s>
  <s t="_error">
    <k n="errorType" t="i"/>
    <k n="propagated" t="b"/>
    <k n="ptg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3-26T15:05:12.22" personId="{DD072516-F036-574B-83AE-DC18292DFDD7}" id="{66BE830F-F59C-B24F-BEF5-1DD8244939D9}">
    <text>ne pas replacer, créer une colonne dans R et comparer les valeurs</text>
  </threadedComment>
  <threadedComment ref="E1" dT="2025-03-26T15:05:24.03" personId="{DD072516-F036-574B-83AE-DC18292DFDD7}" id="{ECD170AD-0B35-0546-BCA8-6E8A35EDAB36}" parentId="{66BE830F-F59C-B24F-BEF5-1DD8244939D9}">
    <text xml:space="preserve">de la catégorie offset measurement
</text>
  </threadedComment>
  <threadedComment ref="B2" dT="2025-03-26T14:49:29.49" personId="{DD072516-F036-574B-83AE-DC18292DFDD7}" id="{01A7F6FD-AE14-5F41-81E9-126F1930465B}">
    <text>(comment cette mesure est-celle obtenue ?)</text>
  </threadedComment>
  <threadedComment ref="B4" dT="2025-03-26T14:52:26.14" personId="{DD072516-F036-574B-83AE-DC18292DFDD7}" id="{8DB26CCD-8AD9-7645-A7C7-3221A05CD42A}">
    <text>donnée obtenue environ au même moment que la mesure au bulleur // à obtenir après compilation des données et recherche du moment correspondant dans le fichier de log</text>
  </threadedComment>
  <threadedComment ref="D4" dT="2025-03-26T14:56:38.46" personId="{DD072516-F036-574B-83AE-DC18292DFDD7}" id="{18CD5DC0-1D83-5A41-ADBC-463B62EF2759}">
    <text>trouvée dans les données à l’heure du bulleur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1C18-810B-4F9D-986C-46A8BD0FF279}">
  <dimension ref="A1:F8"/>
  <sheetViews>
    <sheetView zoomScale="109" workbookViewId="0">
      <selection activeCell="G7" sqref="G7"/>
    </sheetView>
  </sheetViews>
  <sheetFormatPr baseColWidth="10" defaultRowHeight="15" x14ac:dyDescent="0.2"/>
  <cols>
    <col min="3" max="3" width="36" customWidth="1"/>
    <col min="4" max="4" width="26" customWidth="1"/>
    <col min="5" max="5" width="22.6640625" customWidth="1"/>
  </cols>
  <sheetData>
    <row r="1" spans="1:6" x14ac:dyDescent="0.2">
      <c r="B1" t="s">
        <v>3</v>
      </c>
      <c r="C1" s="1" t="s">
        <v>4</v>
      </c>
    </row>
    <row r="2" spans="1:6" x14ac:dyDescent="0.2">
      <c r="B2" s="1">
        <v>3745</v>
      </c>
      <c r="C2" s="1">
        <v>-200</v>
      </c>
    </row>
    <row r="3" spans="1:6" x14ac:dyDescent="0.2">
      <c r="B3" s="1">
        <v>2030</v>
      </c>
      <c r="C3" s="1">
        <v>-1400</v>
      </c>
    </row>
    <row r="4" spans="1:6" x14ac:dyDescent="0.2">
      <c r="B4">
        <v>2035</v>
      </c>
      <c r="C4">
        <f>(B4*0.6997)-2820.4</f>
        <v>-1396.5105000000001</v>
      </c>
      <c r="D4" t="s">
        <v>5</v>
      </c>
    </row>
    <row r="5" spans="1:6" x14ac:dyDescent="0.2">
      <c r="B5">
        <v>3745</v>
      </c>
      <c r="C5">
        <f>(B5*0.6997)-2820.4</f>
        <v>-200.02350000000024</v>
      </c>
      <c r="D5" t="s">
        <v>0</v>
      </c>
      <c r="E5" t="s">
        <v>1</v>
      </c>
      <c r="F5" t="s">
        <v>2</v>
      </c>
    </row>
    <row r="6" spans="1:6" x14ac:dyDescent="0.2">
      <c r="B6">
        <v>3238</v>
      </c>
      <c r="C6">
        <f t="shared" ref="C6" si="0">(-1*B6*1.425)+4030</f>
        <v>-584.15000000000055</v>
      </c>
      <c r="D6">
        <f>(C6/10)+39.8</f>
        <v>-18.615000000000059</v>
      </c>
      <c r="E6">
        <f>-58+39.8</f>
        <v>-18.200000000000003</v>
      </c>
      <c r="F6">
        <f>(D6)-E6</f>
        <v>-0.41500000000005599</v>
      </c>
    </row>
    <row r="7" spans="1:6" x14ac:dyDescent="0.2">
      <c r="A7">
        <v>200</v>
      </c>
      <c r="B7">
        <v>3745</v>
      </c>
    </row>
    <row r="8" spans="1:6" x14ac:dyDescent="0.2">
      <c r="A8">
        <v>1400</v>
      </c>
      <c r="B8">
        <v>2035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FD59-0D34-A649-A000-D791381C59FB}">
  <dimension ref="A1:V43"/>
  <sheetViews>
    <sheetView zoomScaleNormal="100" workbookViewId="0">
      <selection activeCell="P1" sqref="P1"/>
    </sheetView>
  </sheetViews>
  <sheetFormatPr baseColWidth="10" defaultRowHeight="14" x14ac:dyDescent="0.15"/>
  <cols>
    <col min="1" max="1" width="8.83203125" style="7" customWidth="1"/>
    <col min="2" max="2" width="18.83203125" style="7" customWidth="1"/>
    <col min="3" max="3" width="26.83203125" style="7" customWidth="1"/>
    <col min="4" max="4" width="10.83203125" style="7" customWidth="1"/>
    <col min="5" max="5" width="30.5" style="7" customWidth="1"/>
    <col min="6" max="6" width="25.6640625" style="7" customWidth="1"/>
    <col min="7" max="8" width="10.83203125" style="7" customWidth="1"/>
    <col min="9" max="9" width="17.33203125" style="7" customWidth="1"/>
    <col min="10" max="10" width="18" style="7" customWidth="1"/>
    <col min="11" max="11" width="20.5" style="7" customWidth="1"/>
    <col min="12" max="12" width="34" style="7" customWidth="1"/>
    <col min="13" max="13" width="28" style="7" customWidth="1"/>
    <col min="14" max="15" width="20.5" style="7" customWidth="1"/>
    <col min="16" max="16" width="27.33203125" style="7" customWidth="1"/>
    <col min="17" max="16384" width="10.83203125" style="7"/>
  </cols>
  <sheetData>
    <row r="1" spans="1:21" s="5" customFormat="1" x14ac:dyDescent="0.15">
      <c r="A1" s="5" t="s">
        <v>11</v>
      </c>
      <c r="B1" s="5" t="s">
        <v>108</v>
      </c>
      <c r="C1" s="5" t="s">
        <v>104</v>
      </c>
      <c r="D1" s="5" t="s">
        <v>97</v>
      </c>
      <c r="E1" s="5" t="s">
        <v>105</v>
      </c>
      <c r="F1" s="5" t="s">
        <v>106</v>
      </c>
      <c r="G1" s="5" t="s">
        <v>98</v>
      </c>
      <c r="H1" s="6" t="s">
        <v>99</v>
      </c>
      <c r="I1" s="5" t="s">
        <v>100</v>
      </c>
      <c r="J1" s="5" t="s">
        <v>101</v>
      </c>
      <c r="K1" s="5" t="s">
        <v>21</v>
      </c>
      <c r="L1" s="5" t="s">
        <v>107</v>
      </c>
      <c r="M1" s="5" t="s">
        <v>102</v>
      </c>
      <c r="N1" s="5" t="s">
        <v>111</v>
      </c>
      <c r="O1" s="5" t="s">
        <v>114</v>
      </c>
      <c r="P1" s="5" t="s">
        <v>103</v>
      </c>
      <c r="Q1" s="5" t="s">
        <v>2</v>
      </c>
      <c r="R1" s="5" t="s">
        <v>27</v>
      </c>
      <c r="S1" s="5" t="s">
        <v>29</v>
      </c>
      <c r="T1" s="5" t="s">
        <v>30</v>
      </c>
      <c r="U1" s="5" t="s">
        <v>112</v>
      </c>
    </row>
    <row r="2" spans="1:21" x14ac:dyDescent="0.15">
      <c r="A2" s="7">
        <v>41372</v>
      </c>
      <c r="B2" s="7" t="s">
        <v>109</v>
      </c>
      <c r="C2" s="7">
        <v>800</v>
      </c>
      <c r="D2" s="7">
        <v>1511</v>
      </c>
      <c r="E2" s="7">
        <f>C2*-1</f>
        <v>-800</v>
      </c>
      <c r="I2" s="7">
        <f>(E3-E2)/(D3-D2)</f>
        <v>0.64655172413793105</v>
      </c>
      <c r="J2" s="7">
        <f>E2-(I2*D2)</f>
        <v>-1776.9396551724139</v>
      </c>
      <c r="K2" s="7">
        <v>17.399999999999999</v>
      </c>
      <c r="L2" s="7">
        <f t="shared" ref="L2:L37" si="0">E2/10</f>
        <v>-80</v>
      </c>
      <c r="M2" s="7" t="s">
        <v>46</v>
      </c>
      <c r="N2" s="7">
        <v>-53</v>
      </c>
      <c r="O2" s="7">
        <v>16</v>
      </c>
      <c r="P2" s="7">
        <f>N2+K2+O2</f>
        <v>-19.600000000000001</v>
      </c>
      <c r="Q2" s="7" t="s">
        <v>46</v>
      </c>
      <c r="R2" s="7">
        <v>80</v>
      </c>
      <c r="S2" s="8">
        <v>45610</v>
      </c>
      <c r="T2" s="9">
        <v>0.41667824074074072</v>
      </c>
    </row>
    <row r="3" spans="1:21" x14ac:dyDescent="0.15">
      <c r="A3" s="7">
        <v>41372</v>
      </c>
      <c r="B3" s="7" t="s">
        <v>109</v>
      </c>
      <c r="C3" s="7">
        <v>200</v>
      </c>
      <c r="D3" s="7">
        <v>2439</v>
      </c>
      <c r="E3" s="7">
        <f>C3*-1</f>
        <v>-200</v>
      </c>
      <c r="I3" s="7">
        <f>I2</f>
        <v>0.64655172413793105</v>
      </c>
      <c r="J3" s="7">
        <f>J2</f>
        <v>-1776.9396551724139</v>
      </c>
      <c r="K3" s="7">
        <v>17.399999999999999</v>
      </c>
      <c r="L3" s="7">
        <f t="shared" si="0"/>
        <v>-20</v>
      </c>
      <c r="M3" s="7" t="s">
        <v>46</v>
      </c>
      <c r="N3" s="7">
        <v>-53</v>
      </c>
      <c r="O3" s="7">
        <v>16</v>
      </c>
      <c r="P3" s="7">
        <f t="shared" ref="P3:P37" si="1">N3+K3</f>
        <v>-35.6</v>
      </c>
      <c r="Q3" s="7" t="s">
        <v>46</v>
      </c>
      <c r="R3" s="7">
        <v>80</v>
      </c>
      <c r="S3" s="8">
        <v>45610</v>
      </c>
      <c r="T3" s="9">
        <v>0.41667824074074072</v>
      </c>
    </row>
    <row r="4" spans="1:21" x14ac:dyDescent="0.15">
      <c r="A4" s="7">
        <v>41372</v>
      </c>
      <c r="B4" s="7" t="s">
        <v>110</v>
      </c>
      <c r="C4" s="7" t="s">
        <v>46</v>
      </c>
      <c r="D4" s="7">
        <v>1992</v>
      </c>
      <c r="E4" s="7">
        <f>D4*I4+J4</f>
        <v>-489.00862068965534</v>
      </c>
      <c r="I4" s="7">
        <f>I3</f>
        <v>0.64655172413793105</v>
      </c>
      <c r="J4" s="7">
        <f>J3</f>
        <v>-1776.9396551724139</v>
      </c>
      <c r="K4" s="7">
        <f>K3</f>
        <v>17.399999999999999</v>
      </c>
      <c r="L4" s="7">
        <f>E4/10</f>
        <v>-48.900862068965537</v>
      </c>
      <c r="M4" s="7">
        <f>L4+K4</f>
        <v>-31.500862068965539</v>
      </c>
      <c r="N4" s="7">
        <v>-53</v>
      </c>
      <c r="O4" s="7">
        <v>16</v>
      </c>
      <c r="P4" s="7">
        <f>N4+K4</f>
        <v>-35.6</v>
      </c>
      <c r="Q4" s="10">
        <f>M4-P4</f>
        <v>4.0991379310344627</v>
      </c>
      <c r="R4" s="7">
        <f>R3</f>
        <v>80</v>
      </c>
      <c r="S4" s="8">
        <f>S3</f>
        <v>45610</v>
      </c>
      <c r="T4" s="9">
        <f>T3</f>
        <v>0.41667824074074072</v>
      </c>
    </row>
    <row r="5" spans="1:21" x14ac:dyDescent="0.15">
      <c r="A5" s="7">
        <v>41376</v>
      </c>
      <c r="B5" s="7" t="s">
        <v>109</v>
      </c>
      <c r="C5" s="7">
        <v>800</v>
      </c>
      <c r="D5" s="7">
        <v>1647</v>
      </c>
      <c r="E5" s="7">
        <f>C5*-1</f>
        <v>-800</v>
      </c>
      <c r="I5" s="7">
        <f>(E6-E5)/(D6-D5)</f>
        <v>0.54446460980036293</v>
      </c>
      <c r="J5" s="7">
        <f>E5-(I5*D5)</f>
        <v>-1696.7332123411977</v>
      </c>
      <c r="K5" s="7">
        <v>28.6</v>
      </c>
      <c r="L5" s="7">
        <f t="shared" si="0"/>
        <v>-80</v>
      </c>
      <c r="M5" s="7" t="s">
        <v>46</v>
      </c>
      <c r="N5" s="7">
        <v>-36</v>
      </c>
      <c r="O5" s="7">
        <v>16</v>
      </c>
      <c r="P5" s="7">
        <f t="shared" si="1"/>
        <v>-7.3999999999999986</v>
      </c>
      <c r="Q5" s="7" t="s">
        <v>46</v>
      </c>
      <c r="R5" s="7">
        <v>80</v>
      </c>
      <c r="S5" s="8">
        <v>45610</v>
      </c>
      <c r="T5" s="9">
        <v>0.41667824074074072</v>
      </c>
    </row>
    <row r="6" spans="1:21" x14ac:dyDescent="0.15">
      <c r="A6" s="7">
        <v>41376</v>
      </c>
      <c r="B6" s="7" t="s">
        <v>109</v>
      </c>
      <c r="C6" s="7">
        <v>200</v>
      </c>
      <c r="D6" s="7">
        <v>2749</v>
      </c>
      <c r="E6" s="7">
        <f>C6*-1</f>
        <v>-200</v>
      </c>
      <c r="I6" s="7">
        <f>I5</f>
        <v>0.54446460980036293</v>
      </c>
      <c r="J6" s="7">
        <f>J5</f>
        <v>-1696.7332123411977</v>
      </c>
      <c r="K6" s="7">
        <v>28.6</v>
      </c>
      <c r="L6" s="7">
        <f t="shared" si="0"/>
        <v>-20</v>
      </c>
      <c r="M6" s="7" t="s">
        <v>46</v>
      </c>
      <c r="N6" s="7">
        <v>-36</v>
      </c>
      <c r="O6" s="7">
        <v>16</v>
      </c>
      <c r="P6" s="7">
        <f t="shared" si="1"/>
        <v>-7.3999999999999986</v>
      </c>
      <c r="Q6" s="7" t="s">
        <v>46</v>
      </c>
      <c r="R6" s="7">
        <v>80</v>
      </c>
      <c r="S6" s="8">
        <v>45610</v>
      </c>
      <c r="T6" s="9">
        <v>0.41667824074074072</v>
      </c>
    </row>
    <row r="7" spans="1:21" ht="15" x14ac:dyDescent="0.2">
      <c r="A7" s="7">
        <v>41376</v>
      </c>
      <c r="B7" s="7" t="s">
        <v>110</v>
      </c>
      <c r="C7" s="7" t="s">
        <v>46</v>
      </c>
      <c r="D7" s="7" t="s">
        <v>46</v>
      </c>
      <c r="E7" s="7" t="e" vm="1">
        <f>D7*I7+RJ117</f>
        <v>#VALUE!</v>
      </c>
      <c r="I7" s="7">
        <f>I6</f>
        <v>0.54446460980036293</v>
      </c>
      <c r="J7" s="7">
        <f>J6</f>
        <v>-1696.7332123411977</v>
      </c>
      <c r="K7" s="7">
        <f>K6</f>
        <v>28.6</v>
      </c>
      <c r="L7" s="7" t="e" vm="2">
        <f t="shared" si="0"/>
        <v>#VALUE!</v>
      </c>
      <c r="M7" s="7" t="e" vm="3">
        <f>L7+K7</f>
        <v>#VALUE!</v>
      </c>
      <c r="N7" s="7">
        <v>-36</v>
      </c>
      <c r="O7" s="7">
        <v>16</v>
      </c>
      <c r="P7" s="7">
        <f t="shared" si="1"/>
        <v>-7.3999999999999986</v>
      </c>
      <c r="Q7" s="10" t="e" vm="4">
        <f>M7-P7</f>
        <v>#VALUE!</v>
      </c>
      <c r="R7" s="7">
        <f>R6</f>
        <v>80</v>
      </c>
      <c r="S7" s="8">
        <f>S6</f>
        <v>45610</v>
      </c>
      <c r="T7" s="9">
        <f>T6</f>
        <v>0.41667824074074072</v>
      </c>
      <c r="U7" t="s">
        <v>113</v>
      </c>
    </row>
    <row r="8" spans="1:21" x14ac:dyDescent="0.15">
      <c r="A8" s="7">
        <v>41379</v>
      </c>
      <c r="B8" s="7" t="s">
        <v>109</v>
      </c>
      <c r="C8" s="7">
        <v>800</v>
      </c>
      <c r="D8" s="7">
        <v>1662</v>
      </c>
      <c r="E8" s="7">
        <f>C8*-1</f>
        <v>-800</v>
      </c>
      <c r="I8" s="7">
        <f>(E9-E8)/(D9-D8)</f>
        <v>0.55555555555555558</v>
      </c>
      <c r="J8" s="7">
        <f>E8-(I8*D8)</f>
        <v>-1723.3333333333335</v>
      </c>
      <c r="K8" s="7">
        <v>22.3</v>
      </c>
      <c r="L8" s="7">
        <f t="shared" si="0"/>
        <v>-80</v>
      </c>
      <c r="M8" s="7" t="s">
        <v>46</v>
      </c>
      <c r="N8" s="7">
        <v>-47.5</v>
      </c>
      <c r="O8" s="7">
        <v>16</v>
      </c>
      <c r="P8" s="7">
        <f t="shared" si="1"/>
        <v>-25.2</v>
      </c>
      <c r="Q8" s="7" t="s">
        <v>46</v>
      </c>
      <c r="R8" s="7">
        <v>140</v>
      </c>
      <c r="S8" s="8">
        <v>45610</v>
      </c>
      <c r="T8" s="9">
        <v>0.41667824074074072</v>
      </c>
    </row>
    <row r="9" spans="1:21" x14ac:dyDescent="0.15">
      <c r="A9" s="7">
        <v>41379</v>
      </c>
      <c r="B9" s="7" t="s">
        <v>109</v>
      </c>
      <c r="C9" s="7">
        <v>200</v>
      </c>
      <c r="D9" s="7">
        <v>2742</v>
      </c>
      <c r="E9" s="7">
        <f>C9*-1</f>
        <v>-200</v>
      </c>
      <c r="I9" s="7">
        <f>I8</f>
        <v>0.55555555555555558</v>
      </c>
      <c r="J9" s="7">
        <f>J8</f>
        <v>-1723.3333333333335</v>
      </c>
      <c r="K9" s="7">
        <v>22.3</v>
      </c>
      <c r="L9" s="7">
        <f t="shared" si="0"/>
        <v>-20</v>
      </c>
      <c r="M9" s="7" t="s">
        <v>46</v>
      </c>
      <c r="N9" s="7">
        <v>-47.5</v>
      </c>
      <c r="O9" s="7">
        <v>16</v>
      </c>
      <c r="P9" s="7">
        <f t="shared" si="1"/>
        <v>-25.2</v>
      </c>
      <c r="Q9" s="7" t="s">
        <v>46</v>
      </c>
      <c r="R9" s="7">
        <v>140</v>
      </c>
      <c r="S9" s="8">
        <v>45610</v>
      </c>
      <c r="T9" s="9">
        <v>0.41667824074074072</v>
      </c>
    </row>
    <row r="10" spans="1:21" x14ac:dyDescent="0.15">
      <c r="A10" s="7">
        <v>41379</v>
      </c>
      <c r="B10" s="7" t="s">
        <v>110</v>
      </c>
      <c r="C10" s="7" t="s">
        <v>46</v>
      </c>
      <c r="D10" s="7">
        <v>2295</v>
      </c>
      <c r="E10" s="7">
        <f>D10*I10+J10</f>
        <v>-448.33333333333348</v>
      </c>
      <c r="I10" s="7">
        <f>I9</f>
        <v>0.55555555555555558</v>
      </c>
      <c r="J10" s="7">
        <f>J9</f>
        <v>-1723.3333333333335</v>
      </c>
      <c r="K10" s="7">
        <f>K9</f>
        <v>22.3</v>
      </c>
      <c r="L10" s="7">
        <f t="shared" si="0"/>
        <v>-44.83333333333335</v>
      </c>
      <c r="M10" s="7">
        <f>L10+K10</f>
        <v>-22.533333333333349</v>
      </c>
      <c r="N10" s="7">
        <v>-47.5</v>
      </c>
      <c r="O10" s="7">
        <v>16</v>
      </c>
      <c r="P10" s="7">
        <f t="shared" si="1"/>
        <v>-25.2</v>
      </c>
      <c r="Q10" s="10">
        <f>M10-P10</f>
        <v>2.6666666666666501</v>
      </c>
      <c r="R10" s="7">
        <f>R9</f>
        <v>140</v>
      </c>
      <c r="S10" s="8">
        <f>S9</f>
        <v>45610</v>
      </c>
      <c r="T10" s="9">
        <f>T9</f>
        <v>0.41667824074074072</v>
      </c>
    </row>
    <row r="11" spans="1:21" x14ac:dyDescent="0.15">
      <c r="A11" s="7">
        <v>41361</v>
      </c>
      <c r="B11" s="7" t="s">
        <v>109</v>
      </c>
      <c r="C11" s="7">
        <v>800</v>
      </c>
      <c r="D11" s="7">
        <v>1747</v>
      </c>
      <c r="E11" s="7">
        <f>C11*-1</f>
        <v>-800</v>
      </c>
      <c r="I11" s="7">
        <f>(E12-E11)/(D12-D11)</f>
        <v>0.48231511254019294</v>
      </c>
      <c r="J11" s="7">
        <f>E11-(I11*D11)</f>
        <v>-1642.6045016077171</v>
      </c>
      <c r="K11" s="7">
        <v>28.5</v>
      </c>
      <c r="L11" s="7">
        <f t="shared" si="0"/>
        <v>-80</v>
      </c>
      <c r="M11" s="7" t="s">
        <v>46</v>
      </c>
      <c r="N11" s="7">
        <v>-55.8</v>
      </c>
      <c r="O11" s="7">
        <v>16</v>
      </c>
      <c r="P11" s="7">
        <f t="shared" si="1"/>
        <v>-27.299999999999997</v>
      </c>
      <c r="Q11" s="7" t="s">
        <v>46</v>
      </c>
      <c r="R11" s="7">
        <v>80</v>
      </c>
      <c r="S11" s="8">
        <v>45610</v>
      </c>
      <c r="T11" s="9">
        <v>0.41667824074074072</v>
      </c>
    </row>
    <row r="12" spans="1:21" x14ac:dyDescent="0.15">
      <c r="A12" s="7">
        <v>41361</v>
      </c>
      <c r="B12" s="7" t="s">
        <v>109</v>
      </c>
      <c r="C12" s="7">
        <v>200</v>
      </c>
      <c r="D12" s="7">
        <v>2991</v>
      </c>
      <c r="E12" s="7">
        <f>C12*-1</f>
        <v>-200</v>
      </c>
      <c r="I12" s="7">
        <f>I11</f>
        <v>0.48231511254019294</v>
      </c>
      <c r="J12" s="7">
        <f>J11</f>
        <v>-1642.6045016077171</v>
      </c>
      <c r="K12" s="7">
        <v>28.5</v>
      </c>
      <c r="L12" s="7">
        <f t="shared" si="0"/>
        <v>-20</v>
      </c>
      <c r="M12" s="7" t="s">
        <v>46</v>
      </c>
      <c r="N12" s="7">
        <v>-55.8</v>
      </c>
      <c r="O12" s="7">
        <v>16</v>
      </c>
      <c r="P12" s="7">
        <f t="shared" si="1"/>
        <v>-27.299999999999997</v>
      </c>
      <c r="Q12" s="7" t="s">
        <v>46</v>
      </c>
      <c r="R12" s="7">
        <v>80</v>
      </c>
      <c r="S12" s="8">
        <v>45610</v>
      </c>
      <c r="T12" s="9">
        <v>0.41667824074074072</v>
      </c>
    </row>
    <row r="13" spans="1:21" ht="15" x14ac:dyDescent="0.2">
      <c r="A13" s="7">
        <v>41361</v>
      </c>
      <c r="B13" s="7" t="s">
        <v>110</v>
      </c>
      <c r="C13" s="7" t="s">
        <v>46</v>
      </c>
      <c r="D13" s="7" t="s">
        <v>46</v>
      </c>
      <c r="E13" s="7" t="e" vm="1">
        <f>D13*I13+J13</f>
        <v>#VALUE!</v>
      </c>
      <c r="I13" s="7">
        <f>I12</f>
        <v>0.48231511254019294</v>
      </c>
      <c r="J13" s="7">
        <f>J12</f>
        <v>-1642.6045016077171</v>
      </c>
      <c r="K13" s="7">
        <f>K12</f>
        <v>28.5</v>
      </c>
      <c r="L13" s="7" t="e" vm="2">
        <f t="shared" si="0"/>
        <v>#VALUE!</v>
      </c>
      <c r="M13" s="7" t="e" vm="3">
        <f>L13+K13</f>
        <v>#VALUE!</v>
      </c>
      <c r="N13" s="7">
        <v>-55.8</v>
      </c>
      <c r="O13" s="7">
        <v>16</v>
      </c>
      <c r="P13" s="7">
        <f t="shared" si="1"/>
        <v>-27.299999999999997</v>
      </c>
      <c r="Q13" s="10" t="e" vm="4">
        <f>M13-P13</f>
        <v>#VALUE!</v>
      </c>
      <c r="R13" s="7">
        <f>R12</f>
        <v>80</v>
      </c>
      <c r="S13" s="8">
        <f>S12</f>
        <v>45610</v>
      </c>
      <c r="T13" s="9">
        <f>T12</f>
        <v>0.41667824074074072</v>
      </c>
      <c r="U13" t="s">
        <v>47</v>
      </c>
    </row>
    <row r="14" spans="1:21" x14ac:dyDescent="0.15">
      <c r="A14" s="7">
        <v>42565</v>
      </c>
      <c r="B14" s="7" t="s">
        <v>109</v>
      </c>
      <c r="C14" s="7">
        <v>1400</v>
      </c>
      <c r="D14" s="7">
        <v>1858</v>
      </c>
      <c r="E14" s="7">
        <f>C14*-1</f>
        <v>-1400</v>
      </c>
      <c r="I14" s="7">
        <f>(E15-E14)/(D15-D14)</f>
        <v>0.65395095367847411</v>
      </c>
      <c r="J14" s="7">
        <f>E14-(I14*D14)</f>
        <v>-2615.0408719346051</v>
      </c>
      <c r="K14" s="7">
        <v>22.7</v>
      </c>
      <c r="L14" s="7">
        <f t="shared" si="0"/>
        <v>-140</v>
      </c>
      <c r="M14" s="7" t="s">
        <v>46</v>
      </c>
      <c r="N14" s="7">
        <v>-46</v>
      </c>
      <c r="O14" s="7">
        <v>16</v>
      </c>
      <c r="P14" s="7">
        <f t="shared" si="1"/>
        <v>-23.3</v>
      </c>
      <c r="Q14" s="7" t="s">
        <v>46</v>
      </c>
      <c r="R14" s="7">
        <v>140</v>
      </c>
      <c r="S14" s="8">
        <v>45610</v>
      </c>
      <c r="T14" s="9">
        <v>0.41667824074074072</v>
      </c>
    </row>
    <row r="15" spans="1:21" x14ac:dyDescent="0.15">
      <c r="A15" s="7">
        <v>42565</v>
      </c>
      <c r="B15" s="7" t="s">
        <v>109</v>
      </c>
      <c r="C15" s="7">
        <v>200</v>
      </c>
      <c r="D15" s="7">
        <v>3693</v>
      </c>
      <c r="E15" s="7">
        <f>C15*-1</f>
        <v>-200</v>
      </c>
      <c r="I15" s="7">
        <f>I14</f>
        <v>0.65395095367847411</v>
      </c>
      <c r="J15" s="7">
        <f>J14</f>
        <v>-2615.0408719346051</v>
      </c>
      <c r="K15" s="7">
        <v>22.7</v>
      </c>
      <c r="L15" s="7">
        <f t="shared" si="0"/>
        <v>-20</v>
      </c>
      <c r="M15" s="7" t="s">
        <v>46</v>
      </c>
      <c r="N15" s="7">
        <v>-46</v>
      </c>
      <c r="O15" s="7">
        <v>16</v>
      </c>
      <c r="P15" s="7">
        <f t="shared" si="1"/>
        <v>-23.3</v>
      </c>
      <c r="Q15" s="7" t="s">
        <v>46</v>
      </c>
      <c r="R15" s="7">
        <v>140</v>
      </c>
      <c r="S15" s="8">
        <v>45610</v>
      </c>
      <c r="T15" s="9">
        <v>0.41667824074074072</v>
      </c>
    </row>
    <row r="16" spans="1:21" x14ac:dyDescent="0.15">
      <c r="A16" s="7">
        <v>42565</v>
      </c>
      <c r="B16" s="7" t="s">
        <v>110</v>
      </c>
      <c r="C16" s="7" t="s">
        <v>46</v>
      </c>
      <c r="D16" s="7">
        <v>3344</v>
      </c>
      <c r="E16" s="7">
        <f>D16*I16+J16</f>
        <v>-428.22888283378779</v>
      </c>
      <c r="I16" s="7">
        <f>I15</f>
        <v>0.65395095367847411</v>
      </c>
      <c r="J16" s="7">
        <f>J15</f>
        <v>-2615.0408719346051</v>
      </c>
      <c r="K16" s="7">
        <f>K15</f>
        <v>22.7</v>
      </c>
      <c r="L16" s="7">
        <f t="shared" si="0"/>
        <v>-42.822888283378781</v>
      </c>
      <c r="M16" s="7">
        <f>L16+K16</f>
        <v>-20.122888283378781</v>
      </c>
      <c r="N16" s="7">
        <v>-46</v>
      </c>
      <c r="O16" s="7">
        <v>16</v>
      </c>
      <c r="P16" s="7">
        <f t="shared" si="1"/>
        <v>-23.3</v>
      </c>
      <c r="Q16" s="10">
        <f>M16-P16</f>
        <v>3.1771117166212193</v>
      </c>
      <c r="R16" s="7">
        <f>R15</f>
        <v>140</v>
      </c>
      <c r="S16" s="8">
        <f>S15</f>
        <v>45610</v>
      </c>
      <c r="T16" s="9">
        <f>T15</f>
        <v>0.41667824074074072</v>
      </c>
    </row>
    <row r="17" spans="1:22" x14ac:dyDescent="0.15">
      <c r="A17" s="7">
        <v>41359</v>
      </c>
      <c r="B17" s="7" t="s">
        <v>109</v>
      </c>
      <c r="C17" s="7">
        <v>800</v>
      </c>
      <c r="D17" s="7">
        <v>1748</v>
      </c>
      <c r="E17" s="7">
        <f>C17*-1</f>
        <v>-800</v>
      </c>
      <c r="F17" s="7" t="s">
        <v>115</v>
      </c>
      <c r="G17" s="7">
        <v>0.47920000000000001</v>
      </c>
      <c r="H17" s="7">
        <v>-1637.7</v>
      </c>
      <c r="I17" s="7">
        <f>(E18-E17)/(D18-D17)</f>
        <v>0.47923322683706071</v>
      </c>
      <c r="J17" s="7">
        <f>E17-(I17*D17)</f>
        <v>-1637.6996805111821</v>
      </c>
      <c r="K17" s="7">
        <v>30.5</v>
      </c>
      <c r="L17" s="7">
        <f t="shared" si="0"/>
        <v>-80</v>
      </c>
      <c r="M17" s="7" t="s">
        <v>46</v>
      </c>
      <c r="N17" s="7">
        <v>-25.5</v>
      </c>
      <c r="O17" s="7">
        <v>16</v>
      </c>
      <c r="P17" s="7">
        <f t="shared" si="1"/>
        <v>5</v>
      </c>
      <c r="Q17" s="7" t="s">
        <v>46</v>
      </c>
      <c r="R17" s="7">
        <v>80</v>
      </c>
      <c r="S17" s="8">
        <v>45610</v>
      </c>
      <c r="T17" s="9">
        <v>0.41667824074074072</v>
      </c>
    </row>
    <row r="18" spans="1:22" x14ac:dyDescent="0.15">
      <c r="A18" s="7">
        <v>41359</v>
      </c>
      <c r="B18" s="7" t="s">
        <v>109</v>
      </c>
      <c r="C18" s="7">
        <v>200</v>
      </c>
      <c r="D18" s="7">
        <v>3000</v>
      </c>
      <c r="E18" s="7">
        <f>C18*-1</f>
        <v>-200</v>
      </c>
      <c r="F18" s="7" t="s">
        <v>115</v>
      </c>
      <c r="G18" s="7">
        <v>0.47920000000000001</v>
      </c>
      <c r="H18" s="7">
        <v>-1637.7</v>
      </c>
      <c r="I18" s="7">
        <f>I17</f>
        <v>0.47923322683706071</v>
      </c>
      <c r="J18" s="7">
        <f>J17</f>
        <v>-1637.6996805111821</v>
      </c>
      <c r="K18" s="7">
        <v>30.5</v>
      </c>
      <c r="L18" s="7">
        <f t="shared" si="0"/>
        <v>-20</v>
      </c>
      <c r="M18" s="7" t="s">
        <v>46</v>
      </c>
      <c r="N18" s="7">
        <v>-25.5</v>
      </c>
      <c r="O18" s="7">
        <v>16</v>
      </c>
      <c r="P18" s="7">
        <f t="shared" si="1"/>
        <v>5</v>
      </c>
      <c r="Q18" s="7" t="s">
        <v>46</v>
      </c>
      <c r="R18" s="7">
        <v>80</v>
      </c>
      <c r="S18" s="8">
        <v>45610</v>
      </c>
      <c r="T18" s="9">
        <v>0.41667824074074072</v>
      </c>
    </row>
    <row r="19" spans="1:22" x14ac:dyDescent="0.15">
      <c r="A19" s="7">
        <v>41359</v>
      </c>
      <c r="B19" s="7" t="s">
        <v>110</v>
      </c>
      <c r="C19" s="7" t="s">
        <v>46</v>
      </c>
      <c r="D19" s="7">
        <v>2851</v>
      </c>
      <c r="E19" s="7">
        <f>D19*I19+J19</f>
        <v>-271.40575079872201</v>
      </c>
      <c r="I19" s="7">
        <f>I18</f>
        <v>0.47923322683706071</v>
      </c>
      <c r="J19" s="7">
        <f>J18</f>
        <v>-1637.6996805111821</v>
      </c>
      <c r="K19" s="7">
        <f>K18</f>
        <v>30.5</v>
      </c>
      <c r="L19" s="7">
        <f t="shared" si="0"/>
        <v>-27.1405750798722</v>
      </c>
      <c r="M19" s="7">
        <f>L19+K19</f>
        <v>3.3594249201278004</v>
      </c>
      <c r="N19" s="7">
        <v>-25.5</v>
      </c>
      <c r="O19" s="7">
        <v>16</v>
      </c>
      <c r="P19" s="7">
        <f t="shared" si="1"/>
        <v>5</v>
      </c>
      <c r="Q19" s="10">
        <f>M19-P19</f>
        <v>-1.6405750798721996</v>
      </c>
      <c r="R19" s="7">
        <f>R18</f>
        <v>80</v>
      </c>
      <c r="S19" s="8">
        <f>S18</f>
        <v>45610</v>
      </c>
      <c r="T19" s="9">
        <f>T18</f>
        <v>0.41667824074074072</v>
      </c>
    </row>
    <row r="20" spans="1:22" x14ac:dyDescent="0.15">
      <c r="A20" s="7">
        <v>42564</v>
      </c>
      <c r="B20" s="7" t="s">
        <v>109</v>
      </c>
      <c r="C20" s="7">
        <v>1400</v>
      </c>
      <c r="D20" s="7">
        <v>1848</v>
      </c>
      <c r="E20" s="7">
        <f>C20*-1</f>
        <v>-1400</v>
      </c>
      <c r="I20" s="7">
        <f>(E21-E20)/(D21-D20)</f>
        <v>0.65111231687466087</v>
      </c>
      <c r="J20" s="7">
        <f>E20-(I20*D20)</f>
        <v>-2603.255561584373</v>
      </c>
      <c r="K20" s="7">
        <v>33.299999999999997</v>
      </c>
      <c r="L20" s="7">
        <f t="shared" si="0"/>
        <v>-140</v>
      </c>
      <c r="M20" s="7" t="s">
        <v>46</v>
      </c>
      <c r="N20" s="7">
        <v>-53.9</v>
      </c>
      <c r="O20" s="7">
        <v>16</v>
      </c>
      <c r="P20" s="7">
        <f t="shared" si="1"/>
        <v>-20.6</v>
      </c>
      <c r="Q20" s="7" t="s">
        <v>46</v>
      </c>
      <c r="R20" s="7">
        <v>140</v>
      </c>
      <c r="S20" s="8">
        <v>45610</v>
      </c>
      <c r="T20" s="9">
        <v>0.41667824074074072</v>
      </c>
    </row>
    <row r="21" spans="1:22" x14ac:dyDescent="0.15">
      <c r="A21" s="7">
        <v>42564</v>
      </c>
      <c r="B21" s="7" t="s">
        <v>109</v>
      </c>
      <c r="C21" s="7">
        <v>200</v>
      </c>
      <c r="D21" s="7">
        <v>3691</v>
      </c>
      <c r="E21" s="7">
        <f>C21*-1</f>
        <v>-200</v>
      </c>
      <c r="I21" s="7">
        <f>I20</f>
        <v>0.65111231687466087</v>
      </c>
      <c r="J21" s="7">
        <f>J20</f>
        <v>-2603.255561584373</v>
      </c>
      <c r="K21" s="7">
        <v>33.299999999999997</v>
      </c>
      <c r="L21" s="7">
        <f t="shared" si="0"/>
        <v>-20</v>
      </c>
      <c r="M21" s="7" t="s">
        <v>46</v>
      </c>
      <c r="N21" s="7">
        <v>-53.9</v>
      </c>
      <c r="O21" s="7">
        <v>16</v>
      </c>
      <c r="P21" s="7">
        <f t="shared" si="1"/>
        <v>-20.6</v>
      </c>
      <c r="Q21" s="7" t="s">
        <v>46</v>
      </c>
      <c r="R21" s="7">
        <v>140</v>
      </c>
      <c r="S21" s="8">
        <v>45610</v>
      </c>
      <c r="T21" s="9">
        <v>0.41667824074074072</v>
      </c>
    </row>
    <row r="22" spans="1:22" x14ac:dyDescent="0.15">
      <c r="A22" s="7">
        <v>42564</v>
      </c>
      <c r="B22" s="7" t="s">
        <v>110</v>
      </c>
      <c r="C22" s="7" t="s">
        <v>46</v>
      </c>
      <c r="D22" s="7">
        <v>1034</v>
      </c>
      <c r="E22" s="7">
        <f>D22*I22+J22</f>
        <v>-1930.0054259359736</v>
      </c>
      <c r="I22" s="7">
        <f>I21</f>
        <v>0.65111231687466087</v>
      </c>
      <c r="J22" s="7">
        <f>J21</f>
        <v>-2603.255561584373</v>
      </c>
      <c r="K22" s="7">
        <f>K21</f>
        <v>33.299999999999997</v>
      </c>
      <c r="L22" s="7">
        <f t="shared" si="0"/>
        <v>-193.00054259359734</v>
      </c>
      <c r="M22" s="7">
        <f>L22+LK2222</f>
        <v>-193.00054259359734</v>
      </c>
      <c r="N22" s="7">
        <v>-53.9</v>
      </c>
      <c r="O22" s="7">
        <v>16</v>
      </c>
      <c r="P22" s="7">
        <f t="shared" si="1"/>
        <v>-20.6</v>
      </c>
      <c r="Q22" s="11">
        <f>M22-P22</f>
        <v>-172.40054259359735</v>
      </c>
      <c r="R22" s="7">
        <f>R21</f>
        <v>140</v>
      </c>
      <c r="S22" s="8">
        <f>S21</f>
        <v>45610</v>
      </c>
      <c r="T22" s="9">
        <f>T21</f>
        <v>0.41667824074074072</v>
      </c>
      <c r="U22" s="7" t="s">
        <v>116</v>
      </c>
    </row>
    <row r="23" spans="1:22" x14ac:dyDescent="0.15">
      <c r="A23" s="7">
        <v>42566</v>
      </c>
      <c r="B23" s="7" t="s">
        <v>109</v>
      </c>
      <c r="C23" s="7">
        <v>1400</v>
      </c>
      <c r="D23" s="7">
        <v>1846</v>
      </c>
      <c r="E23" s="7">
        <f>C23*-1</f>
        <v>-1400</v>
      </c>
      <c r="I23" s="7">
        <f>(E24-E23)/(D24-D23)</f>
        <v>0.65359477124183007</v>
      </c>
      <c r="J23" s="7">
        <f>E23-(I23*D23)</f>
        <v>-2606.5359477124184</v>
      </c>
      <c r="K23" s="7">
        <v>21.2</v>
      </c>
      <c r="L23" s="7">
        <f t="shared" si="0"/>
        <v>-140</v>
      </c>
      <c r="M23" s="7" t="s">
        <v>46</v>
      </c>
      <c r="N23" s="7">
        <v>-71.5</v>
      </c>
      <c r="O23" s="7">
        <v>16</v>
      </c>
      <c r="P23" s="7">
        <f t="shared" si="1"/>
        <v>-50.3</v>
      </c>
      <c r="Q23" s="7" t="s">
        <v>46</v>
      </c>
      <c r="R23" s="7">
        <v>140</v>
      </c>
      <c r="S23" s="8">
        <v>45610</v>
      </c>
      <c r="T23" s="9">
        <v>0.41667824074074072</v>
      </c>
    </row>
    <row r="24" spans="1:22" x14ac:dyDescent="0.15">
      <c r="A24" s="7">
        <v>42566</v>
      </c>
      <c r="B24" s="7" t="s">
        <v>109</v>
      </c>
      <c r="C24" s="7">
        <v>200</v>
      </c>
      <c r="D24" s="7">
        <v>3682</v>
      </c>
      <c r="E24" s="7">
        <f>C24*-1</f>
        <v>-200</v>
      </c>
      <c r="I24" s="7">
        <f>I23</f>
        <v>0.65359477124183007</v>
      </c>
      <c r="J24" s="7">
        <f>J23</f>
        <v>-2606.5359477124184</v>
      </c>
      <c r="K24" s="7">
        <v>21.2</v>
      </c>
      <c r="L24" s="7">
        <f t="shared" si="0"/>
        <v>-20</v>
      </c>
      <c r="M24" s="7" t="s">
        <v>46</v>
      </c>
      <c r="N24" s="7">
        <v>-71.5</v>
      </c>
      <c r="O24" s="7">
        <v>16</v>
      </c>
      <c r="P24" s="7">
        <f t="shared" si="1"/>
        <v>-50.3</v>
      </c>
      <c r="Q24" s="7" t="s">
        <v>46</v>
      </c>
      <c r="R24" s="7">
        <v>140</v>
      </c>
      <c r="S24" s="8">
        <v>45610</v>
      </c>
      <c r="T24" s="9">
        <v>0.41667824074074072</v>
      </c>
    </row>
    <row r="25" spans="1:22" x14ac:dyDescent="0.15">
      <c r="A25" s="7">
        <v>42566</v>
      </c>
      <c r="B25" s="7" t="s">
        <v>110</v>
      </c>
      <c r="C25" s="7" t="s">
        <v>46</v>
      </c>
      <c r="D25" s="7">
        <v>2978</v>
      </c>
      <c r="E25" s="7">
        <f>D25*I25+J25</f>
        <v>-660.13071895424855</v>
      </c>
      <c r="I25" s="7">
        <f>I24</f>
        <v>0.65359477124183007</v>
      </c>
      <c r="J25" s="7">
        <f>J24</f>
        <v>-2606.5359477124184</v>
      </c>
      <c r="K25" s="7">
        <f>K24</f>
        <v>21.2</v>
      </c>
      <c r="L25" s="7">
        <f t="shared" si="0"/>
        <v>-66.013071895424858</v>
      </c>
      <c r="M25" s="7">
        <f>L25+K25</f>
        <v>-44.813071895424855</v>
      </c>
      <c r="N25" s="7">
        <v>-71.5</v>
      </c>
      <c r="O25" s="7">
        <v>16</v>
      </c>
      <c r="P25" s="7">
        <f t="shared" si="1"/>
        <v>-50.3</v>
      </c>
      <c r="Q25" s="10">
        <f>M25-P25</f>
        <v>5.4869281045751421</v>
      </c>
      <c r="R25" s="7">
        <f>R24</f>
        <v>140</v>
      </c>
      <c r="S25" s="8">
        <f>S24</f>
        <v>45610</v>
      </c>
      <c r="T25" s="9">
        <f>T24</f>
        <v>0.41667824074074072</v>
      </c>
    </row>
    <row r="26" spans="1:22" x14ac:dyDescent="0.15">
      <c r="A26" s="7">
        <v>41362</v>
      </c>
      <c r="B26" s="7" t="s">
        <v>109</v>
      </c>
      <c r="C26" s="7">
        <v>800</v>
      </c>
      <c r="D26" s="7">
        <v>1647</v>
      </c>
      <c r="E26" s="7">
        <f>C26*-1</f>
        <v>-800</v>
      </c>
      <c r="I26" s="7">
        <f>(E27-E26)/(D27-D26)</f>
        <v>0.5494505494505495</v>
      </c>
      <c r="J26" s="7">
        <f>E26-(I26*D26)</f>
        <v>-1704.9450549450551</v>
      </c>
      <c r="K26" s="7">
        <v>28.9</v>
      </c>
      <c r="L26" s="7">
        <f t="shared" si="0"/>
        <v>-80</v>
      </c>
      <c r="M26" s="7" t="s">
        <v>46</v>
      </c>
      <c r="N26" s="7">
        <v>-63.3</v>
      </c>
      <c r="O26" s="7">
        <v>16</v>
      </c>
      <c r="P26" s="7">
        <f t="shared" si="1"/>
        <v>-34.4</v>
      </c>
      <c r="Q26" s="7" t="s">
        <v>46</v>
      </c>
      <c r="R26" s="7">
        <v>80</v>
      </c>
      <c r="S26" s="8">
        <v>45610</v>
      </c>
      <c r="T26" s="9">
        <v>0.41667824074074072</v>
      </c>
    </row>
    <row r="27" spans="1:22" x14ac:dyDescent="0.15">
      <c r="A27" s="7">
        <v>41362</v>
      </c>
      <c r="B27" s="7" t="s">
        <v>109</v>
      </c>
      <c r="C27" s="7">
        <v>200</v>
      </c>
      <c r="D27" s="7">
        <v>2739</v>
      </c>
      <c r="E27" s="7">
        <f>C27*-1</f>
        <v>-200</v>
      </c>
      <c r="I27" s="7">
        <f>I26</f>
        <v>0.5494505494505495</v>
      </c>
      <c r="J27" s="7">
        <f>J26</f>
        <v>-1704.9450549450551</v>
      </c>
      <c r="K27" s="7">
        <v>28.9</v>
      </c>
      <c r="L27" s="7">
        <f t="shared" si="0"/>
        <v>-20</v>
      </c>
      <c r="M27" s="7" t="s">
        <v>46</v>
      </c>
      <c r="N27" s="7">
        <v>-63.3</v>
      </c>
      <c r="O27" s="7">
        <v>16</v>
      </c>
      <c r="P27" s="7">
        <f t="shared" si="1"/>
        <v>-34.4</v>
      </c>
      <c r="Q27" s="7" t="s">
        <v>46</v>
      </c>
      <c r="R27" s="7">
        <v>80</v>
      </c>
      <c r="S27" s="8">
        <v>45610</v>
      </c>
      <c r="T27" s="9">
        <v>0.41667824074074072</v>
      </c>
    </row>
    <row r="28" spans="1:22" x14ac:dyDescent="0.15">
      <c r="A28" s="7">
        <v>41362</v>
      </c>
      <c r="B28" s="7" t="s">
        <v>110</v>
      </c>
      <c r="C28" s="7" t="s">
        <v>46</v>
      </c>
      <c r="D28" s="7">
        <v>2011</v>
      </c>
      <c r="E28" s="7">
        <f>D28*I28+J28</f>
        <v>-600</v>
      </c>
      <c r="I28" s="7">
        <f>I27</f>
        <v>0.5494505494505495</v>
      </c>
      <c r="J28" s="7">
        <f>J27</f>
        <v>-1704.9450549450551</v>
      </c>
      <c r="K28" s="7">
        <f>K27</f>
        <v>28.9</v>
      </c>
      <c r="L28" s="7">
        <f t="shared" si="0"/>
        <v>-60</v>
      </c>
      <c r="M28" s="7">
        <f>L28+K28</f>
        <v>-31.1</v>
      </c>
      <c r="N28" s="7">
        <v>-63.3</v>
      </c>
      <c r="O28" s="7">
        <v>16</v>
      </c>
      <c r="P28" s="7">
        <f t="shared" si="1"/>
        <v>-34.4</v>
      </c>
      <c r="Q28" s="10">
        <f>M28-P28</f>
        <v>3.2999999999999972</v>
      </c>
      <c r="R28" s="7">
        <f>R27</f>
        <v>80</v>
      </c>
      <c r="S28" s="8">
        <f>S27</f>
        <v>45610</v>
      </c>
      <c r="T28" s="9">
        <f>T27</f>
        <v>0.41667824074074072</v>
      </c>
      <c r="V28" s="7">
        <f>M28-Q28</f>
        <v>-34.4</v>
      </c>
    </row>
    <row r="29" spans="1:22" x14ac:dyDescent="0.15">
      <c r="A29" s="7">
        <v>41387</v>
      </c>
      <c r="B29" s="7" t="s">
        <v>109</v>
      </c>
      <c r="C29" s="7">
        <v>800</v>
      </c>
      <c r="D29" s="7">
        <v>1638</v>
      </c>
      <c r="E29" s="7">
        <f>C29*-1</f>
        <v>-800</v>
      </c>
      <c r="I29" s="7">
        <f>(E30-E29)/(D30-D29)</f>
        <v>0.53523639607493312</v>
      </c>
      <c r="J29" s="7">
        <f>E29-(I29*D29)</f>
        <v>-1676.7172167707404</v>
      </c>
      <c r="K29" s="7">
        <v>31.9</v>
      </c>
      <c r="L29" s="7">
        <f t="shared" si="0"/>
        <v>-80</v>
      </c>
      <c r="M29" s="7" t="s">
        <v>46</v>
      </c>
      <c r="N29" s="7">
        <v>-29</v>
      </c>
      <c r="O29" s="7">
        <v>16</v>
      </c>
      <c r="P29" s="7">
        <f t="shared" si="1"/>
        <v>2.8999999999999986</v>
      </c>
      <c r="Q29" s="7" t="s">
        <v>46</v>
      </c>
      <c r="R29" s="7">
        <v>80</v>
      </c>
      <c r="S29" s="8">
        <v>45610</v>
      </c>
      <c r="T29" s="9">
        <v>0.41667824074074072</v>
      </c>
    </row>
    <row r="30" spans="1:22" x14ac:dyDescent="0.15">
      <c r="A30" s="7">
        <v>41387</v>
      </c>
      <c r="B30" s="7" t="s">
        <v>109</v>
      </c>
      <c r="C30" s="7">
        <v>200</v>
      </c>
      <c r="D30" s="7">
        <v>2759</v>
      </c>
      <c r="E30" s="7">
        <f>C30*-1</f>
        <v>-200</v>
      </c>
      <c r="I30" s="7">
        <f>I29</f>
        <v>0.53523639607493312</v>
      </c>
      <c r="J30" s="7">
        <f>J29</f>
        <v>-1676.7172167707404</v>
      </c>
      <c r="K30" s="7">
        <v>31.9</v>
      </c>
      <c r="L30" s="7">
        <f t="shared" si="0"/>
        <v>-20</v>
      </c>
      <c r="M30" s="7" t="s">
        <v>46</v>
      </c>
      <c r="N30" s="7">
        <v>-29</v>
      </c>
      <c r="O30" s="7">
        <v>16</v>
      </c>
      <c r="P30" s="7">
        <f t="shared" si="1"/>
        <v>2.8999999999999986</v>
      </c>
      <c r="Q30" s="7" t="s">
        <v>46</v>
      </c>
      <c r="R30" s="7">
        <v>80</v>
      </c>
      <c r="S30" s="8">
        <v>45610</v>
      </c>
      <c r="T30" s="9">
        <v>0.41667824074074072</v>
      </c>
    </row>
    <row r="31" spans="1:22" x14ac:dyDescent="0.15">
      <c r="A31" s="7">
        <v>41387</v>
      </c>
      <c r="B31" s="7" t="s">
        <v>110</v>
      </c>
      <c r="C31" s="7" t="s">
        <v>46</v>
      </c>
      <c r="D31" s="7">
        <v>2552</v>
      </c>
      <c r="E31" s="7">
        <f>D31*I31+J31</f>
        <v>-310.79393398751108</v>
      </c>
      <c r="I31" s="7">
        <f>I30</f>
        <v>0.53523639607493312</v>
      </c>
      <c r="J31" s="7">
        <f>J30</f>
        <v>-1676.7172167707404</v>
      </c>
      <c r="K31" s="7">
        <f>K30</f>
        <v>31.9</v>
      </c>
      <c r="L31" s="7">
        <f t="shared" si="0"/>
        <v>-31.079393398751108</v>
      </c>
      <c r="M31" s="7">
        <f>L31+K31</f>
        <v>0.8206066012488904</v>
      </c>
      <c r="N31" s="7">
        <v>-29</v>
      </c>
      <c r="O31" s="7">
        <v>16</v>
      </c>
      <c r="P31" s="7">
        <f t="shared" si="1"/>
        <v>2.8999999999999986</v>
      </c>
      <c r="Q31" s="10">
        <f>M31-P31</f>
        <v>-2.0793933987511082</v>
      </c>
      <c r="R31" s="7">
        <f>R30</f>
        <v>80</v>
      </c>
      <c r="S31" s="8">
        <f>S30</f>
        <v>45610</v>
      </c>
      <c r="T31" s="9">
        <f>T30</f>
        <v>0.41667824074074072</v>
      </c>
    </row>
    <row r="32" spans="1:22" x14ac:dyDescent="0.15">
      <c r="A32" s="7">
        <v>41366</v>
      </c>
      <c r="B32" s="7" t="s">
        <v>109</v>
      </c>
      <c r="C32" s="7">
        <v>800</v>
      </c>
      <c r="D32" s="7">
        <v>1537</v>
      </c>
      <c r="E32" s="7">
        <f>C32*-1</f>
        <v>-800</v>
      </c>
      <c r="I32" s="7">
        <f>(E33-E32)/(D33-D32)</f>
        <v>0.66815144766146994</v>
      </c>
      <c r="J32" s="7">
        <f>E32-(I32*D32)</f>
        <v>-1826.9487750556793</v>
      </c>
      <c r="K32" s="7">
        <v>24.1</v>
      </c>
      <c r="L32" s="7">
        <f t="shared" si="0"/>
        <v>-80</v>
      </c>
      <c r="M32" s="7" t="s">
        <v>46</v>
      </c>
      <c r="N32" s="7">
        <v>-41.5</v>
      </c>
      <c r="O32" s="7">
        <v>16</v>
      </c>
      <c r="P32" s="7">
        <f t="shared" si="1"/>
        <v>-17.399999999999999</v>
      </c>
      <c r="Q32" s="7" t="s">
        <v>46</v>
      </c>
      <c r="R32" s="7">
        <v>140</v>
      </c>
      <c r="S32" s="8">
        <v>45610</v>
      </c>
      <c r="T32" s="9">
        <v>0.41667824074074072</v>
      </c>
    </row>
    <row r="33" spans="1:20" x14ac:dyDescent="0.15">
      <c r="A33" s="7">
        <v>41366</v>
      </c>
      <c r="B33" s="7" t="s">
        <v>109</v>
      </c>
      <c r="C33" s="7">
        <v>200</v>
      </c>
      <c r="D33" s="7">
        <v>2435</v>
      </c>
      <c r="E33" s="7">
        <f>C33*-1</f>
        <v>-200</v>
      </c>
      <c r="I33" s="7">
        <f>I32</f>
        <v>0.66815144766146994</v>
      </c>
      <c r="J33" s="7">
        <f>J32</f>
        <v>-1826.9487750556793</v>
      </c>
      <c r="K33" s="7">
        <v>24.1</v>
      </c>
      <c r="L33" s="7">
        <f t="shared" si="0"/>
        <v>-20</v>
      </c>
      <c r="M33" s="7" t="s">
        <v>46</v>
      </c>
      <c r="N33" s="7">
        <v>-41.5</v>
      </c>
      <c r="O33" s="7">
        <v>16</v>
      </c>
      <c r="P33" s="7">
        <f t="shared" si="1"/>
        <v>-17.399999999999999</v>
      </c>
      <c r="Q33" s="7" t="s">
        <v>46</v>
      </c>
      <c r="R33" s="7">
        <v>140</v>
      </c>
      <c r="S33" s="8">
        <v>45610</v>
      </c>
      <c r="T33" s="9">
        <v>0.41667824074074072</v>
      </c>
    </row>
    <row r="34" spans="1:20" x14ac:dyDescent="0.15">
      <c r="A34" s="7">
        <v>41366</v>
      </c>
      <c r="B34" s="7" t="s">
        <v>110</v>
      </c>
      <c r="C34" s="7" t="s">
        <v>46</v>
      </c>
      <c r="D34" s="7">
        <v>2174</v>
      </c>
      <c r="E34" s="7">
        <f>D34*I34+J34</f>
        <v>-374.38752783964378</v>
      </c>
      <c r="I34" s="7">
        <f>I33</f>
        <v>0.66815144766146994</v>
      </c>
      <c r="J34" s="7">
        <f>J33</f>
        <v>-1826.9487750556793</v>
      </c>
      <c r="K34" s="7">
        <f>K33</f>
        <v>24.1</v>
      </c>
      <c r="L34" s="7">
        <f t="shared" si="0"/>
        <v>-37.438752783964375</v>
      </c>
      <c r="M34" s="7">
        <f>L34+K34</f>
        <v>-13.338752783964374</v>
      </c>
      <c r="N34" s="7">
        <v>-41.5</v>
      </c>
      <c r="O34" s="7">
        <v>16</v>
      </c>
      <c r="P34" s="7">
        <f t="shared" si="1"/>
        <v>-17.399999999999999</v>
      </c>
      <c r="Q34" s="10">
        <f>M34-P34</f>
        <v>4.0612472160356248</v>
      </c>
      <c r="R34" s="7">
        <f>R33</f>
        <v>140</v>
      </c>
      <c r="S34" s="8">
        <f>S33</f>
        <v>45610</v>
      </c>
      <c r="T34" s="9">
        <f>T33</f>
        <v>0.41667824074074072</v>
      </c>
    </row>
    <row r="35" spans="1:20" x14ac:dyDescent="0.15">
      <c r="A35" s="7">
        <v>41370</v>
      </c>
      <c r="B35" s="7" t="s">
        <v>109</v>
      </c>
      <c r="C35" s="7">
        <v>800</v>
      </c>
      <c r="D35" s="7">
        <v>1639</v>
      </c>
      <c r="E35" s="7">
        <f>C35*-1</f>
        <v>-800</v>
      </c>
      <c r="I35" s="7">
        <f>(E36-E35)/(D36-D35)</f>
        <v>0.55710306406685239</v>
      </c>
      <c r="J35" s="7">
        <f>E35-(I35*D35)</f>
        <v>-1713.0919220055712</v>
      </c>
      <c r="K35" s="7">
        <v>30.5</v>
      </c>
      <c r="L35" s="7">
        <f t="shared" si="0"/>
        <v>-80</v>
      </c>
      <c r="M35" s="7" t="s">
        <v>46</v>
      </c>
      <c r="N35" s="7">
        <v>-44</v>
      </c>
      <c r="P35" s="7">
        <f t="shared" si="1"/>
        <v>-13.5</v>
      </c>
      <c r="Q35" s="7" t="s">
        <v>46</v>
      </c>
      <c r="R35" s="7">
        <v>80</v>
      </c>
      <c r="S35" s="8">
        <v>45610</v>
      </c>
      <c r="T35" s="9">
        <v>0.41667824074074072</v>
      </c>
    </row>
    <row r="36" spans="1:20" x14ac:dyDescent="0.15">
      <c r="A36" s="7">
        <v>41370</v>
      </c>
      <c r="B36" s="7" t="s">
        <v>109</v>
      </c>
      <c r="C36" s="7">
        <v>200</v>
      </c>
      <c r="D36" s="7">
        <v>2716</v>
      </c>
      <c r="E36" s="7">
        <f>C36*-1</f>
        <v>-200</v>
      </c>
      <c r="I36" s="7">
        <f>I35</f>
        <v>0.55710306406685239</v>
      </c>
      <c r="J36" s="7">
        <f>J35</f>
        <v>-1713.0919220055712</v>
      </c>
      <c r="K36" s="7">
        <v>30.5</v>
      </c>
      <c r="L36" s="7">
        <f t="shared" si="0"/>
        <v>-20</v>
      </c>
      <c r="M36" s="7" t="s">
        <v>46</v>
      </c>
      <c r="N36" s="7">
        <v>-44</v>
      </c>
      <c r="P36" s="7">
        <f t="shared" si="1"/>
        <v>-13.5</v>
      </c>
      <c r="Q36" s="7" t="s">
        <v>46</v>
      </c>
      <c r="R36" s="7">
        <v>80</v>
      </c>
      <c r="S36" s="8">
        <v>45610</v>
      </c>
      <c r="T36" s="9">
        <v>0.41667824074074072</v>
      </c>
    </row>
    <row r="37" spans="1:20" ht="15" customHeight="1" x14ac:dyDescent="0.15">
      <c r="A37" s="7">
        <v>41370</v>
      </c>
      <c r="B37" s="7" t="s">
        <v>110</v>
      </c>
      <c r="C37" s="7" t="s">
        <v>46</v>
      </c>
      <c r="D37" s="7">
        <v>2329</v>
      </c>
      <c r="E37" s="7">
        <f>D37*I37+J37</f>
        <v>-415.59888579387189</v>
      </c>
      <c r="I37" s="7">
        <f>I36</f>
        <v>0.55710306406685239</v>
      </c>
      <c r="J37" s="7">
        <f>J36</f>
        <v>-1713.0919220055712</v>
      </c>
      <c r="K37" s="7">
        <f>K36</f>
        <v>30.5</v>
      </c>
      <c r="L37" s="7">
        <f t="shared" si="0"/>
        <v>-41.559888579387191</v>
      </c>
      <c r="M37" s="7">
        <f>L37+K37</f>
        <v>-11.059888579387191</v>
      </c>
      <c r="N37" s="7">
        <v>-44</v>
      </c>
      <c r="P37" s="7">
        <f t="shared" si="1"/>
        <v>-13.5</v>
      </c>
      <c r="Q37" s="10">
        <f>M37-P37</f>
        <v>2.4401114206128085</v>
      </c>
      <c r="R37" s="7">
        <f>R36</f>
        <v>80</v>
      </c>
      <c r="S37" s="8">
        <f>S36</f>
        <v>45610</v>
      </c>
      <c r="T37" s="9">
        <f>T36</f>
        <v>0.41667824074074072</v>
      </c>
    </row>
    <row r="38" spans="1:20" x14ac:dyDescent="0.15">
      <c r="S38" s="8"/>
      <c r="T38" s="9"/>
    </row>
    <row r="39" spans="1:20" x14ac:dyDescent="0.15">
      <c r="S39" s="8"/>
      <c r="T39" s="9"/>
    </row>
    <row r="40" spans="1:20" ht="15" thickBot="1" x14ac:dyDescent="0.2"/>
    <row r="41" spans="1:20" x14ac:dyDescent="0.15">
      <c r="G41" s="12" t="s">
        <v>117</v>
      </c>
      <c r="H41" s="13"/>
      <c r="I41" s="13" t="s">
        <v>118</v>
      </c>
      <c r="J41" s="13"/>
      <c r="K41" s="14"/>
    </row>
    <row r="42" spans="1:20" x14ac:dyDescent="0.15">
      <c r="G42" s="15"/>
      <c r="K42" s="16" t="s">
        <v>120</v>
      </c>
    </row>
    <row r="43" spans="1:20" ht="15" thickBot="1" x14ac:dyDescent="0.2">
      <c r="G43" s="17"/>
      <c r="H43" s="18"/>
      <c r="I43" s="18"/>
      <c r="J43" s="18" t="s">
        <v>119</v>
      </c>
      <c r="K43" s="19"/>
    </row>
  </sheetData>
  <sortState xmlns:xlrd2="http://schemas.microsoft.com/office/spreadsheetml/2017/richdata2" ref="A17:T37">
    <sortCondition ref="A17:A37"/>
  </sortState>
  <phoneticPr fontId="4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402E-9425-2548-93BD-451E08F8BBBF}">
  <dimension ref="A1:AF30"/>
  <sheetViews>
    <sheetView tabSelected="1" workbookViewId="0">
      <selection activeCell="A22" sqref="A22:XFD22"/>
    </sheetView>
  </sheetViews>
  <sheetFormatPr baseColWidth="10" defaultRowHeight="15" x14ac:dyDescent="0.2"/>
  <sheetData>
    <row r="1" spans="1:3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 x14ac:dyDescent="0.2">
      <c r="A2" t="s">
        <v>38</v>
      </c>
      <c r="B2" t="s">
        <v>39</v>
      </c>
      <c r="C2" t="s">
        <v>40</v>
      </c>
      <c r="D2" t="s">
        <v>41</v>
      </c>
      <c r="E2">
        <v>41383</v>
      </c>
      <c r="F2">
        <v>41372</v>
      </c>
      <c r="G2" t="s">
        <v>42</v>
      </c>
      <c r="H2">
        <v>20</v>
      </c>
      <c r="I2">
        <v>200</v>
      </c>
      <c r="J2">
        <v>1</v>
      </c>
      <c r="K2">
        <v>1511</v>
      </c>
      <c r="M2" s="2">
        <v>45455.625</v>
      </c>
      <c r="N2" s="2">
        <v>45610.458333333336</v>
      </c>
      <c r="O2">
        <v>10</v>
      </c>
      <c r="P2">
        <v>17.399999999999999</v>
      </c>
      <c r="Q2">
        <v>33.799999999999997</v>
      </c>
      <c r="R2">
        <v>13.6</v>
      </c>
      <c r="S2">
        <v>19.2</v>
      </c>
      <c r="T2">
        <v>16.399999999999999</v>
      </c>
      <c r="U2">
        <v>80</v>
      </c>
      <c r="V2">
        <v>80</v>
      </c>
      <c r="W2">
        <v>53</v>
      </c>
      <c r="X2" s="3">
        <v>45610</v>
      </c>
      <c r="Y2" s="4">
        <v>0.41667824074074072</v>
      </c>
      <c r="Z2" t="s">
        <v>43</v>
      </c>
    </row>
    <row r="3" spans="1:32" x14ac:dyDescent="0.2">
      <c r="A3" t="s">
        <v>38</v>
      </c>
      <c r="B3" t="s">
        <v>39</v>
      </c>
      <c r="C3" t="s">
        <v>40</v>
      </c>
      <c r="D3" t="s">
        <v>41</v>
      </c>
      <c r="E3">
        <v>41383</v>
      </c>
      <c r="F3">
        <v>41372</v>
      </c>
      <c r="G3" t="s">
        <v>42</v>
      </c>
      <c r="H3">
        <v>80</v>
      </c>
      <c r="I3">
        <v>800</v>
      </c>
      <c r="J3">
        <v>2</v>
      </c>
      <c r="K3">
        <v>2439</v>
      </c>
      <c r="M3" s="2">
        <v>45455.625</v>
      </c>
      <c r="N3" s="2">
        <v>45610.458333333336</v>
      </c>
      <c r="O3">
        <v>10</v>
      </c>
      <c r="P3">
        <v>17.399999999999999</v>
      </c>
      <c r="Q3">
        <v>33.799999999999997</v>
      </c>
      <c r="R3">
        <v>13.6</v>
      </c>
      <c r="S3">
        <v>19.2</v>
      </c>
      <c r="T3">
        <v>16.399999999999999</v>
      </c>
      <c r="U3">
        <v>80</v>
      </c>
      <c r="V3">
        <v>80</v>
      </c>
      <c r="W3">
        <v>53</v>
      </c>
      <c r="X3" s="3">
        <v>45610</v>
      </c>
      <c r="Y3" s="4">
        <v>0.41667824074074072</v>
      </c>
      <c r="Z3" t="s">
        <v>43</v>
      </c>
    </row>
    <row r="4" spans="1:32" x14ac:dyDescent="0.2">
      <c r="A4" t="s">
        <v>44</v>
      </c>
      <c r="B4" t="s">
        <v>39</v>
      </c>
      <c r="C4" t="s">
        <v>45</v>
      </c>
      <c r="D4" t="s">
        <v>41</v>
      </c>
      <c r="E4" t="s">
        <v>46</v>
      </c>
      <c r="F4">
        <v>41376</v>
      </c>
      <c r="G4" t="s">
        <v>42</v>
      </c>
      <c r="H4">
        <v>20</v>
      </c>
      <c r="I4">
        <v>200</v>
      </c>
      <c r="J4">
        <v>1</v>
      </c>
      <c r="K4">
        <v>1647</v>
      </c>
      <c r="L4" t="s">
        <v>47</v>
      </c>
      <c r="M4" t="s">
        <v>46</v>
      </c>
      <c r="N4" t="s">
        <v>46</v>
      </c>
      <c r="O4">
        <v>2</v>
      </c>
      <c r="P4">
        <v>28.6</v>
      </c>
      <c r="Q4">
        <v>-103.4</v>
      </c>
      <c r="R4">
        <v>-132.6</v>
      </c>
      <c r="S4">
        <v>-130.80000000000001</v>
      </c>
      <c r="T4">
        <v>-132.6</v>
      </c>
      <c r="U4">
        <v>80</v>
      </c>
      <c r="V4">
        <v>80</v>
      </c>
      <c r="W4">
        <v>36</v>
      </c>
      <c r="X4" s="3">
        <v>45610</v>
      </c>
      <c r="Y4" s="4">
        <v>0.41667824074074072</v>
      </c>
      <c r="Z4" t="s">
        <v>43</v>
      </c>
    </row>
    <row r="5" spans="1:32" x14ac:dyDescent="0.2">
      <c r="A5" t="s">
        <v>44</v>
      </c>
      <c r="B5" t="s">
        <v>39</v>
      </c>
      <c r="C5" t="s">
        <v>45</v>
      </c>
      <c r="D5" t="s">
        <v>41</v>
      </c>
      <c r="E5" t="s">
        <v>46</v>
      </c>
      <c r="F5">
        <v>41376</v>
      </c>
      <c r="G5" t="s">
        <v>42</v>
      </c>
      <c r="H5">
        <v>80</v>
      </c>
      <c r="I5">
        <v>800</v>
      </c>
      <c r="J5">
        <v>2</v>
      </c>
      <c r="K5">
        <v>2749</v>
      </c>
      <c r="L5" t="s">
        <v>47</v>
      </c>
      <c r="M5" t="s">
        <v>46</v>
      </c>
      <c r="N5" t="s">
        <v>46</v>
      </c>
      <c r="O5">
        <v>2</v>
      </c>
      <c r="P5">
        <v>28.6</v>
      </c>
      <c r="Q5">
        <v>-103.4</v>
      </c>
      <c r="R5">
        <v>-132.6</v>
      </c>
      <c r="S5">
        <v>-130.80000000000001</v>
      </c>
      <c r="T5">
        <v>-132.6</v>
      </c>
      <c r="U5">
        <v>80</v>
      </c>
      <c r="V5">
        <v>80</v>
      </c>
      <c r="W5">
        <v>36</v>
      </c>
      <c r="X5" s="3">
        <v>45610</v>
      </c>
      <c r="Y5" s="4">
        <v>0.41667824074074072</v>
      </c>
      <c r="Z5" t="s">
        <v>43</v>
      </c>
    </row>
    <row r="6" spans="1:32" x14ac:dyDescent="0.2">
      <c r="A6" t="s">
        <v>48</v>
      </c>
      <c r="B6" t="s">
        <v>39</v>
      </c>
      <c r="C6" t="s">
        <v>49</v>
      </c>
      <c r="D6" t="s">
        <v>41</v>
      </c>
      <c r="E6" t="s">
        <v>46</v>
      </c>
      <c r="F6">
        <v>41379</v>
      </c>
      <c r="G6" t="s">
        <v>42</v>
      </c>
      <c r="H6">
        <v>20</v>
      </c>
      <c r="I6">
        <v>200</v>
      </c>
      <c r="J6">
        <v>1</v>
      </c>
      <c r="K6">
        <v>1662</v>
      </c>
      <c r="M6" s="2">
        <v>45455.625</v>
      </c>
      <c r="N6" s="2">
        <v>45610.458333333336</v>
      </c>
      <c r="O6">
        <v>30</v>
      </c>
      <c r="P6">
        <v>22.3</v>
      </c>
      <c r="Q6">
        <v>64.400000000000006</v>
      </c>
      <c r="R6">
        <v>41.2</v>
      </c>
      <c r="S6">
        <v>43.4</v>
      </c>
      <c r="T6">
        <v>41.8</v>
      </c>
      <c r="U6">
        <v>140</v>
      </c>
      <c r="V6">
        <v>140</v>
      </c>
      <c r="W6">
        <v>47.5</v>
      </c>
      <c r="X6" s="3">
        <v>45610</v>
      </c>
      <c r="Y6" s="4">
        <v>0.41667824074074072</v>
      </c>
      <c r="Z6" t="s">
        <v>43</v>
      </c>
    </row>
    <row r="7" spans="1:32" x14ac:dyDescent="0.2">
      <c r="A7" t="s">
        <v>48</v>
      </c>
      <c r="B7" t="s">
        <v>39</v>
      </c>
      <c r="C7" t="s">
        <v>49</v>
      </c>
      <c r="D7" t="s">
        <v>41</v>
      </c>
      <c r="E7" t="s">
        <v>46</v>
      </c>
      <c r="F7">
        <v>41379</v>
      </c>
      <c r="G7" t="s">
        <v>42</v>
      </c>
      <c r="H7">
        <v>80</v>
      </c>
      <c r="I7">
        <v>800</v>
      </c>
      <c r="J7">
        <v>2</v>
      </c>
      <c r="K7">
        <v>2742</v>
      </c>
      <c r="M7" s="2">
        <v>45455.625</v>
      </c>
      <c r="N7" s="2">
        <v>45610.458333333336</v>
      </c>
      <c r="O7">
        <v>30</v>
      </c>
      <c r="P7">
        <v>22.3</v>
      </c>
      <c r="Q7">
        <v>64.400000000000006</v>
      </c>
      <c r="R7">
        <v>41.2</v>
      </c>
      <c r="S7">
        <v>43.4</v>
      </c>
      <c r="T7">
        <v>41.8</v>
      </c>
      <c r="U7">
        <v>140</v>
      </c>
      <c r="V7">
        <v>140</v>
      </c>
      <c r="W7">
        <v>47.5</v>
      </c>
      <c r="X7" s="3">
        <v>45610</v>
      </c>
      <c r="Y7" s="4">
        <v>0.41667824074074072</v>
      </c>
      <c r="Z7" t="s">
        <v>43</v>
      </c>
    </row>
    <row r="8" spans="1:32" x14ac:dyDescent="0.2">
      <c r="A8" t="s">
        <v>50</v>
      </c>
      <c r="B8" t="s">
        <v>39</v>
      </c>
      <c r="C8" t="s">
        <v>51</v>
      </c>
      <c r="D8" t="s">
        <v>41</v>
      </c>
      <c r="E8" t="s">
        <v>46</v>
      </c>
      <c r="F8">
        <v>41361</v>
      </c>
      <c r="G8" t="s">
        <v>42</v>
      </c>
      <c r="H8">
        <v>20</v>
      </c>
      <c r="I8">
        <v>200</v>
      </c>
      <c r="J8">
        <v>1</v>
      </c>
      <c r="K8">
        <v>1747</v>
      </c>
      <c r="L8" t="s">
        <v>47</v>
      </c>
      <c r="M8" t="s">
        <v>46</v>
      </c>
      <c r="N8" t="s">
        <v>46</v>
      </c>
      <c r="O8">
        <v>7</v>
      </c>
      <c r="P8">
        <v>28.5</v>
      </c>
      <c r="Q8">
        <v>-3</v>
      </c>
      <c r="R8">
        <v>-36.200000000000003</v>
      </c>
      <c r="S8">
        <v>-27.2</v>
      </c>
      <c r="T8">
        <v>-31.2</v>
      </c>
      <c r="U8">
        <v>80</v>
      </c>
      <c r="V8">
        <v>80</v>
      </c>
      <c r="W8">
        <v>55.8</v>
      </c>
      <c r="X8" s="3">
        <v>45610</v>
      </c>
      <c r="Y8" s="4">
        <v>0.41667824074074072</v>
      </c>
      <c r="Z8" t="s">
        <v>43</v>
      </c>
    </row>
    <row r="9" spans="1:32" x14ac:dyDescent="0.2">
      <c r="A9" t="s">
        <v>50</v>
      </c>
      <c r="B9" t="s">
        <v>39</v>
      </c>
      <c r="C9" t="s">
        <v>51</v>
      </c>
      <c r="D9" t="s">
        <v>41</v>
      </c>
      <c r="E9" t="s">
        <v>46</v>
      </c>
      <c r="F9">
        <v>41361</v>
      </c>
      <c r="G9" t="s">
        <v>42</v>
      </c>
      <c r="H9">
        <v>80</v>
      </c>
      <c r="I9">
        <v>800</v>
      </c>
      <c r="J9">
        <v>2</v>
      </c>
      <c r="K9">
        <v>2991</v>
      </c>
      <c r="L9" t="s">
        <v>47</v>
      </c>
      <c r="M9" t="s">
        <v>46</v>
      </c>
      <c r="N9" t="s">
        <v>46</v>
      </c>
      <c r="O9">
        <v>7</v>
      </c>
      <c r="P9">
        <v>28.5</v>
      </c>
      <c r="Q9">
        <v>-3</v>
      </c>
      <c r="R9">
        <v>-36.200000000000003</v>
      </c>
      <c r="S9">
        <v>-27.2</v>
      </c>
      <c r="T9">
        <v>-31.2</v>
      </c>
      <c r="U9">
        <v>80</v>
      </c>
      <c r="V9">
        <v>80</v>
      </c>
      <c r="W9">
        <v>55.8</v>
      </c>
      <c r="X9" s="3">
        <v>45610</v>
      </c>
      <c r="Y9" s="4">
        <v>0.41667824074074072</v>
      </c>
      <c r="Z9" t="s">
        <v>43</v>
      </c>
    </row>
    <row r="10" spans="1:32" x14ac:dyDescent="0.2">
      <c r="A10" t="s">
        <v>52</v>
      </c>
      <c r="B10" t="s">
        <v>39</v>
      </c>
      <c r="C10" t="s">
        <v>53</v>
      </c>
      <c r="D10" t="s">
        <v>54</v>
      </c>
      <c r="E10" t="s">
        <v>46</v>
      </c>
      <c r="F10">
        <v>42565</v>
      </c>
      <c r="G10" t="s">
        <v>42</v>
      </c>
      <c r="H10">
        <v>20</v>
      </c>
      <c r="I10">
        <v>200</v>
      </c>
      <c r="J10">
        <v>1</v>
      </c>
      <c r="K10">
        <v>1858</v>
      </c>
      <c r="M10" s="2">
        <v>45455.625</v>
      </c>
      <c r="N10" s="2">
        <v>45610.458333333336</v>
      </c>
      <c r="O10">
        <v>20</v>
      </c>
      <c r="P10">
        <v>22.7</v>
      </c>
      <c r="Q10">
        <v>8.4</v>
      </c>
      <c r="R10">
        <v>-13.4</v>
      </c>
      <c r="S10">
        <v>-14.2</v>
      </c>
      <c r="T10">
        <v>-15.4</v>
      </c>
      <c r="U10">
        <v>140</v>
      </c>
      <c r="V10">
        <v>140</v>
      </c>
      <c r="W10">
        <v>46</v>
      </c>
      <c r="X10" s="3">
        <v>45610</v>
      </c>
      <c r="Y10" s="4">
        <v>0.41667824074074072</v>
      </c>
      <c r="Z10" t="s">
        <v>43</v>
      </c>
    </row>
    <row r="11" spans="1:32" x14ac:dyDescent="0.2">
      <c r="A11" t="s">
        <v>52</v>
      </c>
      <c r="B11" t="s">
        <v>39</v>
      </c>
      <c r="C11" t="s">
        <v>53</v>
      </c>
      <c r="D11" t="s">
        <v>54</v>
      </c>
      <c r="E11" t="s">
        <v>46</v>
      </c>
      <c r="F11">
        <v>42565</v>
      </c>
      <c r="G11" t="s">
        <v>42</v>
      </c>
      <c r="H11">
        <v>140</v>
      </c>
      <c r="I11">
        <v>1400</v>
      </c>
      <c r="J11">
        <v>2</v>
      </c>
      <c r="K11">
        <v>3693</v>
      </c>
      <c r="M11" s="2">
        <v>45455.625</v>
      </c>
      <c r="N11" s="2">
        <v>45610.458333333336</v>
      </c>
      <c r="O11">
        <v>20</v>
      </c>
      <c r="P11">
        <v>22.7</v>
      </c>
      <c r="Q11">
        <v>8.4</v>
      </c>
      <c r="R11">
        <v>-13.4</v>
      </c>
      <c r="S11">
        <v>-14.2</v>
      </c>
      <c r="T11">
        <v>-15.4</v>
      </c>
      <c r="U11">
        <v>140</v>
      </c>
      <c r="V11">
        <v>140</v>
      </c>
      <c r="W11">
        <v>46</v>
      </c>
      <c r="X11" s="3">
        <v>45610</v>
      </c>
      <c r="Y11" s="4">
        <v>0.41667824074074072</v>
      </c>
      <c r="Z11" t="s">
        <v>43</v>
      </c>
    </row>
    <row r="12" spans="1:32" x14ac:dyDescent="0.2">
      <c r="A12" t="s">
        <v>55</v>
      </c>
      <c r="B12" t="s">
        <v>39</v>
      </c>
      <c r="C12" t="s">
        <v>56</v>
      </c>
      <c r="D12" t="s">
        <v>54</v>
      </c>
      <c r="E12" t="s">
        <v>46</v>
      </c>
      <c r="F12">
        <v>41359</v>
      </c>
      <c r="G12" t="s">
        <v>42</v>
      </c>
      <c r="H12">
        <v>20</v>
      </c>
      <c r="I12">
        <v>200</v>
      </c>
      <c r="J12">
        <v>1</v>
      </c>
      <c r="K12">
        <v>1748</v>
      </c>
      <c r="M12" s="2">
        <v>45455.625</v>
      </c>
      <c r="N12" s="2">
        <v>45610.458333333336</v>
      </c>
      <c r="O12">
        <v>1</v>
      </c>
      <c r="P12">
        <v>30.5</v>
      </c>
      <c r="Q12">
        <v>-109.6</v>
      </c>
      <c r="R12">
        <v>-138.6</v>
      </c>
      <c r="S12">
        <v>-142.4</v>
      </c>
      <c r="T12">
        <v>-139.4</v>
      </c>
      <c r="U12">
        <v>80</v>
      </c>
      <c r="V12">
        <v>80</v>
      </c>
      <c r="W12">
        <v>25.5</v>
      </c>
      <c r="X12" s="3">
        <v>45610</v>
      </c>
      <c r="Y12" s="4">
        <v>0.41667824074074072</v>
      </c>
      <c r="Z12" t="s">
        <v>43</v>
      </c>
    </row>
    <row r="13" spans="1:32" x14ac:dyDescent="0.2">
      <c r="A13" t="s">
        <v>55</v>
      </c>
      <c r="B13" t="s">
        <v>39</v>
      </c>
      <c r="C13" t="s">
        <v>56</v>
      </c>
      <c r="D13" t="s">
        <v>54</v>
      </c>
      <c r="E13" t="s">
        <v>46</v>
      </c>
      <c r="F13">
        <v>41359</v>
      </c>
      <c r="G13" t="s">
        <v>42</v>
      </c>
      <c r="H13">
        <v>80</v>
      </c>
      <c r="I13">
        <v>800</v>
      </c>
      <c r="J13">
        <v>2</v>
      </c>
      <c r="K13">
        <v>3000</v>
      </c>
      <c r="M13" s="2">
        <v>45455.625</v>
      </c>
      <c r="N13" s="2">
        <v>45610.458333333336</v>
      </c>
      <c r="O13">
        <v>1</v>
      </c>
      <c r="P13">
        <v>30.5</v>
      </c>
      <c r="Q13">
        <v>-109.6</v>
      </c>
      <c r="R13">
        <v>-138.6</v>
      </c>
      <c r="S13">
        <v>-142.4</v>
      </c>
      <c r="T13">
        <v>-139.4</v>
      </c>
      <c r="U13">
        <v>80</v>
      </c>
      <c r="V13">
        <v>80</v>
      </c>
      <c r="W13">
        <v>25.5</v>
      </c>
      <c r="X13" s="3">
        <v>45610</v>
      </c>
      <c r="Y13" s="4">
        <v>0.41667824074074072</v>
      </c>
      <c r="Z13" t="s">
        <v>43</v>
      </c>
    </row>
    <row r="14" spans="1:32" x14ac:dyDescent="0.2">
      <c r="A14" t="s">
        <v>57</v>
      </c>
      <c r="B14" t="s">
        <v>39</v>
      </c>
      <c r="C14" t="s">
        <v>58</v>
      </c>
      <c r="D14" t="s">
        <v>54</v>
      </c>
      <c r="E14" t="s">
        <v>46</v>
      </c>
      <c r="F14">
        <v>42564</v>
      </c>
      <c r="G14" t="s">
        <v>42</v>
      </c>
      <c r="H14">
        <v>20</v>
      </c>
      <c r="I14">
        <v>200</v>
      </c>
      <c r="J14">
        <v>1</v>
      </c>
      <c r="K14">
        <v>1848</v>
      </c>
      <c r="M14" s="2">
        <v>45455.625</v>
      </c>
      <c r="N14" s="2">
        <v>45610.458333333336</v>
      </c>
      <c r="O14">
        <v>30</v>
      </c>
      <c r="P14">
        <v>33.299999999999997</v>
      </c>
      <c r="Q14">
        <v>62.2</v>
      </c>
      <c r="R14">
        <v>27.4</v>
      </c>
      <c r="S14">
        <v>28</v>
      </c>
      <c r="T14">
        <v>31.4</v>
      </c>
      <c r="U14">
        <v>140</v>
      </c>
      <c r="V14">
        <v>140</v>
      </c>
      <c r="W14">
        <v>53.9</v>
      </c>
      <c r="X14" s="3">
        <v>45610</v>
      </c>
      <c r="Y14" s="4">
        <v>0.41667824074074072</v>
      </c>
      <c r="Z14" t="s">
        <v>43</v>
      </c>
    </row>
    <row r="15" spans="1:32" x14ac:dyDescent="0.2">
      <c r="A15" t="s">
        <v>57</v>
      </c>
      <c r="B15" t="s">
        <v>39</v>
      </c>
      <c r="C15" t="s">
        <v>58</v>
      </c>
      <c r="D15" t="s">
        <v>54</v>
      </c>
      <c r="E15" t="s">
        <v>46</v>
      </c>
      <c r="F15">
        <v>42564</v>
      </c>
      <c r="G15" t="s">
        <v>42</v>
      </c>
      <c r="H15">
        <v>140</v>
      </c>
      <c r="I15">
        <v>1400</v>
      </c>
      <c r="J15">
        <v>2</v>
      </c>
      <c r="K15">
        <v>3691</v>
      </c>
      <c r="M15" s="2">
        <v>45455.625</v>
      </c>
      <c r="N15" s="2">
        <v>45610.458333333336</v>
      </c>
      <c r="O15">
        <v>30</v>
      </c>
      <c r="P15">
        <v>33.299999999999997</v>
      </c>
      <c r="Q15">
        <v>62.2</v>
      </c>
      <c r="R15">
        <v>27.4</v>
      </c>
      <c r="S15">
        <v>28</v>
      </c>
      <c r="T15">
        <v>31.4</v>
      </c>
      <c r="U15">
        <v>140</v>
      </c>
      <c r="V15">
        <v>140</v>
      </c>
      <c r="W15">
        <v>53.9</v>
      </c>
      <c r="X15" s="3">
        <v>45610</v>
      </c>
      <c r="Y15" s="4">
        <v>0.41667824074074072</v>
      </c>
      <c r="Z15" t="s">
        <v>43</v>
      </c>
    </row>
    <row r="16" spans="1:32" x14ac:dyDescent="0.2">
      <c r="A16" t="s">
        <v>59</v>
      </c>
      <c r="B16" t="s">
        <v>39</v>
      </c>
      <c r="C16" t="s">
        <v>60</v>
      </c>
      <c r="D16" t="s">
        <v>54</v>
      </c>
      <c r="E16" t="s">
        <v>46</v>
      </c>
      <c r="F16">
        <v>42566</v>
      </c>
      <c r="G16" t="s">
        <v>42</v>
      </c>
      <c r="H16">
        <v>20</v>
      </c>
      <c r="I16">
        <v>200</v>
      </c>
      <c r="J16">
        <v>1</v>
      </c>
      <c r="K16">
        <v>1846</v>
      </c>
      <c r="L16" t="s">
        <v>61</v>
      </c>
      <c r="M16" s="2">
        <v>45455.625</v>
      </c>
      <c r="N16" s="2">
        <v>45610.458333333336</v>
      </c>
      <c r="O16">
        <v>7</v>
      </c>
      <c r="P16">
        <v>21.2</v>
      </c>
      <c r="Q16">
        <v>7</v>
      </c>
      <c r="R16">
        <v>-10.4</v>
      </c>
      <c r="S16">
        <v>-22.6</v>
      </c>
      <c r="T16">
        <v>-9.6</v>
      </c>
      <c r="U16">
        <v>140</v>
      </c>
      <c r="V16">
        <v>140</v>
      </c>
      <c r="W16">
        <v>71.5</v>
      </c>
      <c r="X16" s="3">
        <v>45610</v>
      </c>
      <c r="Y16" s="4">
        <v>0.41667824074074072</v>
      </c>
      <c r="Z16" t="s">
        <v>43</v>
      </c>
    </row>
    <row r="17" spans="1:32" x14ac:dyDescent="0.2">
      <c r="A17" t="s">
        <v>59</v>
      </c>
      <c r="B17" t="s">
        <v>39</v>
      </c>
      <c r="C17" t="s">
        <v>60</v>
      </c>
      <c r="D17" t="s">
        <v>54</v>
      </c>
      <c r="E17" t="s">
        <v>46</v>
      </c>
      <c r="F17">
        <v>42566</v>
      </c>
      <c r="G17" t="s">
        <v>42</v>
      </c>
      <c r="H17">
        <v>140</v>
      </c>
      <c r="I17">
        <v>1400</v>
      </c>
      <c r="J17">
        <v>2</v>
      </c>
      <c r="K17">
        <v>3682</v>
      </c>
      <c r="L17" t="s">
        <v>61</v>
      </c>
      <c r="M17" s="2">
        <v>45455.625</v>
      </c>
      <c r="N17" s="2">
        <v>45610.458333333336</v>
      </c>
      <c r="O17">
        <v>7</v>
      </c>
      <c r="P17">
        <v>21.2</v>
      </c>
      <c r="Q17">
        <v>7</v>
      </c>
      <c r="R17">
        <v>-10.4</v>
      </c>
      <c r="S17">
        <v>-22.6</v>
      </c>
      <c r="T17">
        <v>-9.6</v>
      </c>
      <c r="U17">
        <v>140</v>
      </c>
      <c r="V17">
        <v>140</v>
      </c>
      <c r="W17">
        <v>71.5</v>
      </c>
      <c r="X17" s="3">
        <v>45610</v>
      </c>
      <c r="Y17" s="4">
        <v>0.41667824074074072</v>
      </c>
      <c r="Z17" t="s">
        <v>43</v>
      </c>
    </row>
    <row r="18" spans="1:32" x14ac:dyDescent="0.2">
      <c r="A18" t="s">
        <v>62</v>
      </c>
      <c r="B18" t="s">
        <v>39</v>
      </c>
      <c r="C18" t="s">
        <v>63</v>
      </c>
      <c r="D18" t="s">
        <v>64</v>
      </c>
      <c r="E18" t="s">
        <v>46</v>
      </c>
      <c r="F18">
        <v>41362</v>
      </c>
      <c r="G18" t="s">
        <v>42</v>
      </c>
      <c r="H18">
        <v>20</v>
      </c>
      <c r="I18">
        <v>200</v>
      </c>
      <c r="J18">
        <v>1</v>
      </c>
      <c r="K18">
        <v>1647</v>
      </c>
      <c r="M18" s="2">
        <v>45455.625</v>
      </c>
      <c r="N18" s="2">
        <v>45610.458333333336</v>
      </c>
      <c r="O18">
        <v>10</v>
      </c>
      <c r="P18">
        <v>28.9</v>
      </c>
      <c r="Q18">
        <v>36.4</v>
      </c>
      <c r="R18">
        <v>4.2</v>
      </c>
      <c r="S18">
        <v>10.4</v>
      </c>
      <c r="T18">
        <v>8</v>
      </c>
      <c r="U18">
        <v>80</v>
      </c>
      <c r="V18">
        <v>80</v>
      </c>
      <c r="W18">
        <v>63.3</v>
      </c>
      <c r="X18" s="3">
        <v>45610</v>
      </c>
      <c r="Y18" s="4">
        <v>0.41667824074074072</v>
      </c>
      <c r="Z18" t="s">
        <v>43</v>
      </c>
    </row>
    <row r="19" spans="1:32" x14ac:dyDescent="0.2">
      <c r="A19" t="s">
        <v>62</v>
      </c>
      <c r="B19" t="s">
        <v>39</v>
      </c>
      <c r="C19" t="s">
        <v>63</v>
      </c>
      <c r="D19" t="s">
        <v>64</v>
      </c>
      <c r="E19" t="s">
        <v>46</v>
      </c>
      <c r="F19">
        <v>41362</v>
      </c>
      <c r="G19" t="s">
        <v>42</v>
      </c>
      <c r="H19">
        <v>80</v>
      </c>
      <c r="I19">
        <v>800</v>
      </c>
      <c r="J19">
        <v>2</v>
      </c>
      <c r="K19">
        <v>2739</v>
      </c>
      <c r="M19" s="2">
        <v>45455.625</v>
      </c>
      <c r="N19" s="2">
        <v>45610.458333333336</v>
      </c>
      <c r="O19">
        <v>10</v>
      </c>
      <c r="P19">
        <v>28.9</v>
      </c>
      <c r="Q19">
        <v>36.4</v>
      </c>
      <c r="R19">
        <v>4.2</v>
      </c>
      <c r="S19">
        <v>10.4</v>
      </c>
      <c r="T19">
        <v>8</v>
      </c>
      <c r="U19">
        <v>80</v>
      </c>
      <c r="V19">
        <v>80</v>
      </c>
      <c r="W19">
        <v>63.3</v>
      </c>
      <c r="X19" s="3">
        <v>45610</v>
      </c>
      <c r="Y19" s="4">
        <v>0.41667824074074072</v>
      </c>
      <c r="Z19" t="s">
        <v>43</v>
      </c>
    </row>
    <row r="20" spans="1:32" x14ac:dyDescent="0.2">
      <c r="A20" t="s">
        <v>65</v>
      </c>
      <c r="B20" t="s">
        <v>39</v>
      </c>
      <c r="C20" t="s">
        <v>66</v>
      </c>
      <c r="D20" t="s">
        <v>64</v>
      </c>
      <c r="E20" t="s">
        <v>46</v>
      </c>
      <c r="F20">
        <v>41387</v>
      </c>
      <c r="G20" t="s">
        <v>42</v>
      </c>
      <c r="H20">
        <v>20</v>
      </c>
      <c r="I20">
        <v>200</v>
      </c>
      <c r="J20">
        <v>1</v>
      </c>
      <c r="K20">
        <v>1638</v>
      </c>
      <c r="M20" s="2">
        <v>45455.625</v>
      </c>
      <c r="N20" s="2">
        <v>45610.458333333336</v>
      </c>
      <c r="O20">
        <v>1</v>
      </c>
      <c r="P20">
        <v>31.9</v>
      </c>
      <c r="Q20">
        <v>-92</v>
      </c>
      <c r="R20">
        <v>-124.2</v>
      </c>
      <c r="S20">
        <v>-124.2</v>
      </c>
      <c r="T20">
        <v>-123.2</v>
      </c>
      <c r="U20">
        <v>80</v>
      </c>
      <c r="V20">
        <v>80</v>
      </c>
      <c r="W20">
        <v>29</v>
      </c>
      <c r="X20" s="3">
        <v>45610</v>
      </c>
      <c r="Y20" s="4">
        <v>0.41667824074074072</v>
      </c>
      <c r="Z20" t="s">
        <v>43</v>
      </c>
    </row>
    <row r="21" spans="1:32" x14ac:dyDescent="0.2">
      <c r="A21" t="s">
        <v>65</v>
      </c>
      <c r="B21" t="s">
        <v>39</v>
      </c>
      <c r="C21" t="s">
        <v>66</v>
      </c>
      <c r="D21" t="s">
        <v>64</v>
      </c>
      <c r="E21" t="s">
        <v>46</v>
      </c>
      <c r="F21">
        <v>41387</v>
      </c>
      <c r="G21" t="s">
        <v>42</v>
      </c>
      <c r="H21">
        <v>80</v>
      </c>
      <c r="I21">
        <v>800</v>
      </c>
      <c r="J21">
        <v>2</v>
      </c>
      <c r="K21">
        <v>2759</v>
      </c>
      <c r="M21" s="2">
        <v>45455.625</v>
      </c>
      <c r="N21" s="2">
        <v>45610.458333333336</v>
      </c>
      <c r="O21">
        <v>1</v>
      </c>
      <c r="P21">
        <v>31.9</v>
      </c>
      <c r="Q21">
        <v>-92</v>
      </c>
      <c r="R21">
        <v>-124.2</v>
      </c>
      <c r="S21">
        <v>-124.2</v>
      </c>
      <c r="T21">
        <v>-123.2</v>
      </c>
      <c r="U21">
        <v>80</v>
      </c>
      <c r="V21">
        <v>80</v>
      </c>
      <c r="W21">
        <v>29</v>
      </c>
      <c r="X21" s="3">
        <v>45610</v>
      </c>
      <c r="Y21" s="4">
        <v>0.41667824074074072</v>
      </c>
      <c r="Z21" t="s">
        <v>43</v>
      </c>
    </row>
    <row r="22" spans="1:32" x14ac:dyDescent="0.2">
      <c r="A22" t="s">
        <v>67</v>
      </c>
      <c r="B22" t="s">
        <v>39</v>
      </c>
      <c r="C22" t="s">
        <v>68</v>
      </c>
      <c r="D22" t="s">
        <v>64</v>
      </c>
      <c r="E22" t="s">
        <v>46</v>
      </c>
      <c r="F22">
        <v>41366</v>
      </c>
      <c r="G22" t="s">
        <v>42</v>
      </c>
      <c r="H22">
        <v>20</v>
      </c>
      <c r="I22">
        <v>200</v>
      </c>
      <c r="J22">
        <v>1</v>
      </c>
      <c r="K22">
        <v>1537</v>
      </c>
      <c r="M22" s="2">
        <v>45455.625</v>
      </c>
      <c r="N22" s="2">
        <v>45610.458333333336</v>
      </c>
      <c r="O22">
        <v>30</v>
      </c>
      <c r="P22">
        <v>24.1</v>
      </c>
      <c r="Q22">
        <v>60</v>
      </c>
      <c r="R22">
        <v>35.6</v>
      </c>
      <c r="S22">
        <v>37</v>
      </c>
      <c r="T22">
        <v>35.200000000000003</v>
      </c>
      <c r="U22">
        <v>140</v>
      </c>
      <c r="V22">
        <v>140</v>
      </c>
      <c r="W22">
        <v>41.5</v>
      </c>
      <c r="X22" s="3">
        <v>45610</v>
      </c>
      <c r="Y22" s="4">
        <v>0.41667824074074072</v>
      </c>
      <c r="Z22" t="s">
        <v>43</v>
      </c>
    </row>
    <row r="23" spans="1:32" x14ac:dyDescent="0.2">
      <c r="A23" t="s">
        <v>67</v>
      </c>
      <c r="B23" t="s">
        <v>39</v>
      </c>
      <c r="C23" t="s">
        <v>68</v>
      </c>
      <c r="D23" t="s">
        <v>64</v>
      </c>
      <c r="E23" t="s">
        <v>46</v>
      </c>
      <c r="F23">
        <v>41366</v>
      </c>
      <c r="G23" t="s">
        <v>42</v>
      </c>
      <c r="H23">
        <v>80</v>
      </c>
      <c r="I23">
        <v>800</v>
      </c>
      <c r="J23">
        <v>2</v>
      </c>
      <c r="K23">
        <v>2435</v>
      </c>
      <c r="M23" s="2">
        <v>45455.625</v>
      </c>
      <c r="N23" s="2">
        <v>45610.458333333336</v>
      </c>
      <c r="O23">
        <v>30</v>
      </c>
      <c r="P23">
        <v>24.1</v>
      </c>
      <c r="Q23">
        <v>60</v>
      </c>
      <c r="R23">
        <v>35.6</v>
      </c>
      <c r="S23">
        <v>37</v>
      </c>
      <c r="T23">
        <v>35.200000000000003</v>
      </c>
      <c r="U23">
        <v>140</v>
      </c>
      <c r="V23">
        <v>140</v>
      </c>
      <c r="W23">
        <v>41.5</v>
      </c>
      <c r="X23" s="3">
        <v>45610</v>
      </c>
      <c r="Y23" s="4">
        <v>0.41667824074074072</v>
      </c>
      <c r="Z23" t="s">
        <v>43</v>
      </c>
    </row>
    <row r="24" spans="1:32" x14ac:dyDescent="0.2">
      <c r="A24" t="s">
        <v>69</v>
      </c>
      <c r="B24" t="s">
        <v>39</v>
      </c>
      <c r="C24" t="s">
        <v>70</v>
      </c>
      <c r="D24" t="s">
        <v>64</v>
      </c>
      <c r="E24" t="s">
        <v>46</v>
      </c>
      <c r="F24">
        <v>41370</v>
      </c>
      <c r="G24" t="s">
        <v>42</v>
      </c>
      <c r="H24">
        <v>20</v>
      </c>
      <c r="I24">
        <v>200</v>
      </c>
      <c r="J24">
        <v>1</v>
      </c>
      <c r="K24">
        <v>1639</v>
      </c>
      <c r="M24" s="2">
        <v>45455.625</v>
      </c>
      <c r="N24" s="2">
        <v>45610.458333333336</v>
      </c>
      <c r="O24">
        <v>7</v>
      </c>
      <c r="P24">
        <v>30.5</v>
      </c>
      <c r="Q24">
        <v>-29.8</v>
      </c>
      <c r="R24">
        <v>-56.6</v>
      </c>
      <c r="S24">
        <v>-61.6</v>
      </c>
      <c r="T24">
        <v>-62.8</v>
      </c>
      <c r="U24">
        <v>80</v>
      </c>
      <c r="V24">
        <v>80</v>
      </c>
      <c r="W24">
        <v>44</v>
      </c>
      <c r="X24" s="3">
        <v>45610</v>
      </c>
      <c r="Y24" s="4">
        <v>0.41667824074074072</v>
      </c>
      <c r="Z24" t="s">
        <v>43</v>
      </c>
    </row>
    <row r="25" spans="1:32" x14ac:dyDescent="0.2">
      <c r="A25" t="s">
        <v>69</v>
      </c>
      <c r="B25" t="s">
        <v>39</v>
      </c>
      <c r="C25" t="s">
        <v>70</v>
      </c>
      <c r="D25" t="s">
        <v>64</v>
      </c>
      <c r="E25" t="s">
        <v>46</v>
      </c>
      <c r="F25">
        <v>41370</v>
      </c>
      <c r="G25" t="s">
        <v>42</v>
      </c>
      <c r="H25">
        <v>80</v>
      </c>
      <c r="I25">
        <v>800</v>
      </c>
      <c r="J25">
        <v>2</v>
      </c>
      <c r="K25">
        <v>2716</v>
      </c>
      <c r="M25" s="2">
        <v>45455.625</v>
      </c>
      <c r="N25" s="2">
        <v>45610.458333333336</v>
      </c>
      <c r="O25">
        <v>7</v>
      </c>
      <c r="P25">
        <v>30.5</v>
      </c>
      <c r="Q25">
        <v>-29.8</v>
      </c>
      <c r="R25">
        <v>-56.6</v>
      </c>
      <c r="S25">
        <v>-61.6</v>
      </c>
      <c r="T25">
        <v>-62.8</v>
      </c>
      <c r="U25">
        <v>80</v>
      </c>
      <c r="V25">
        <v>80</v>
      </c>
      <c r="W25">
        <v>44</v>
      </c>
      <c r="X25" s="3">
        <v>45610</v>
      </c>
      <c r="Y25" s="4">
        <v>0.41667824074074072</v>
      </c>
      <c r="Z25" t="s">
        <v>43</v>
      </c>
    </row>
    <row r="26" spans="1:32" x14ac:dyDescent="0.2">
      <c r="A26" t="s">
        <v>71</v>
      </c>
      <c r="B26" t="s">
        <v>72</v>
      </c>
      <c r="C26" t="s">
        <v>73</v>
      </c>
      <c r="D26" t="s">
        <v>74</v>
      </c>
      <c r="E26">
        <v>10</v>
      </c>
      <c r="F26">
        <v>10279769</v>
      </c>
      <c r="G26" t="s">
        <v>75</v>
      </c>
      <c r="H26" t="s">
        <v>46</v>
      </c>
      <c r="I26" t="s">
        <v>46</v>
      </c>
      <c r="J26" t="s">
        <v>46</v>
      </c>
      <c r="K26" t="s">
        <v>46</v>
      </c>
      <c r="L26" t="s">
        <v>76</v>
      </c>
      <c r="M26" s="2">
        <v>45479.416666666664</v>
      </c>
      <c r="N26" s="2">
        <v>45615.416666666664</v>
      </c>
      <c r="O26" t="s">
        <v>46</v>
      </c>
      <c r="P26">
        <v>68.25</v>
      </c>
      <c r="Q26">
        <v>68.25</v>
      </c>
      <c r="R26">
        <v>0</v>
      </c>
      <c r="S26">
        <v>0</v>
      </c>
      <c r="T26">
        <v>0</v>
      </c>
      <c r="U26">
        <v>186.5</v>
      </c>
      <c r="V26">
        <v>170.7</v>
      </c>
      <c r="W26">
        <v>113</v>
      </c>
      <c r="X26" s="3">
        <v>45479</v>
      </c>
      <c r="Y26" s="4">
        <v>0.54167824074074078</v>
      </c>
      <c r="Z26" t="s">
        <v>77</v>
      </c>
      <c r="AA26" t="s">
        <v>78</v>
      </c>
      <c r="AB26">
        <v>6915</v>
      </c>
    </row>
    <row r="27" spans="1:32" x14ac:dyDescent="0.2">
      <c r="A27" t="s">
        <v>79</v>
      </c>
      <c r="B27" t="s">
        <v>72</v>
      </c>
      <c r="C27" t="s">
        <v>80</v>
      </c>
      <c r="D27" t="s">
        <v>81</v>
      </c>
      <c r="E27" t="s">
        <v>46</v>
      </c>
      <c r="F27">
        <v>20573974</v>
      </c>
      <c r="G27" t="s">
        <v>75</v>
      </c>
      <c r="H27" t="s">
        <v>46</v>
      </c>
      <c r="I27" t="s">
        <v>46</v>
      </c>
      <c r="J27" t="s">
        <v>46</v>
      </c>
      <c r="K27" t="s">
        <v>46</v>
      </c>
      <c r="L27" t="s">
        <v>82</v>
      </c>
      <c r="M27" s="2">
        <v>45501.416666666664</v>
      </c>
      <c r="N27" s="2">
        <v>45615.416666666664</v>
      </c>
      <c r="P27">
        <v>15.9</v>
      </c>
      <c r="Q27">
        <v>15.9</v>
      </c>
      <c r="R27">
        <v>0</v>
      </c>
      <c r="S27">
        <v>0</v>
      </c>
      <c r="T27">
        <v>0</v>
      </c>
      <c r="U27">
        <v>141.6</v>
      </c>
      <c r="V27">
        <v>139.69999999999999</v>
      </c>
      <c r="W27">
        <v>103.5</v>
      </c>
      <c r="X27" s="3">
        <v>45502</v>
      </c>
      <c r="Y27" s="4">
        <v>0.41806712962962961</v>
      </c>
      <c r="Z27" t="s">
        <v>83</v>
      </c>
      <c r="AA27" t="s">
        <v>84</v>
      </c>
      <c r="AB27">
        <v>6915</v>
      </c>
    </row>
    <row r="28" spans="1:32" x14ac:dyDescent="0.2">
      <c r="A28" t="s">
        <v>85</v>
      </c>
      <c r="B28" t="s">
        <v>72</v>
      </c>
      <c r="C28" t="s">
        <v>86</v>
      </c>
      <c r="D28" t="s">
        <v>87</v>
      </c>
      <c r="E28">
        <v>18</v>
      </c>
      <c r="F28">
        <v>10279777</v>
      </c>
      <c r="G28" t="s">
        <v>75</v>
      </c>
      <c r="H28" t="s">
        <v>46</v>
      </c>
      <c r="I28" t="s">
        <v>46</v>
      </c>
      <c r="J28" t="s">
        <v>46</v>
      </c>
      <c r="K28" t="s">
        <v>46</v>
      </c>
      <c r="L28" t="s">
        <v>88</v>
      </c>
      <c r="M28" s="2">
        <v>45481.400694444441</v>
      </c>
      <c r="N28" s="2">
        <v>45615.416666666664</v>
      </c>
      <c r="O28" t="s">
        <v>46</v>
      </c>
      <c r="P28">
        <v>62.46</v>
      </c>
      <c r="Q28">
        <v>62.46</v>
      </c>
      <c r="R28">
        <v>0</v>
      </c>
      <c r="S28">
        <v>0</v>
      </c>
      <c r="T28">
        <v>0</v>
      </c>
      <c r="U28">
        <v>170.5</v>
      </c>
      <c r="V28">
        <v>155.69999999999999</v>
      </c>
      <c r="W28">
        <v>180.5</v>
      </c>
      <c r="X28" s="3">
        <v>45615</v>
      </c>
      <c r="Y28" s="4">
        <v>0.41667824074074072</v>
      </c>
      <c r="Z28" t="s">
        <v>89</v>
      </c>
      <c r="AA28" t="s">
        <v>90</v>
      </c>
      <c r="AB28">
        <v>6915</v>
      </c>
      <c r="AC28" t="s">
        <v>46</v>
      </c>
      <c r="AD28" s="3">
        <v>45481</v>
      </c>
      <c r="AE28" s="4">
        <v>0.4007060185185185</v>
      </c>
      <c r="AF28" t="s">
        <v>78</v>
      </c>
    </row>
    <row r="29" spans="1:32" x14ac:dyDescent="0.2">
      <c r="A29" t="s">
        <v>91</v>
      </c>
      <c r="B29" t="s">
        <v>72</v>
      </c>
      <c r="C29" t="s">
        <v>92</v>
      </c>
      <c r="D29" t="s">
        <v>93</v>
      </c>
      <c r="E29">
        <v>34</v>
      </c>
      <c r="F29">
        <v>20853328</v>
      </c>
      <c r="G29" t="s">
        <v>75</v>
      </c>
      <c r="H29" t="s">
        <v>46</v>
      </c>
      <c r="I29" t="s">
        <v>46</v>
      </c>
      <c r="J29" t="s">
        <v>46</v>
      </c>
      <c r="K29" t="s">
        <v>46</v>
      </c>
      <c r="L29" t="s">
        <v>94</v>
      </c>
      <c r="M29" s="2">
        <v>45501.416666666664</v>
      </c>
      <c r="N29" s="2">
        <v>45615.416666666664</v>
      </c>
      <c r="P29">
        <v>29.8</v>
      </c>
      <c r="Q29">
        <v>29.8</v>
      </c>
      <c r="R29">
        <v>0</v>
      </c>
      <c r="S29">
        <v>0</v>
      </c>
      <c r="T29">
        <v>0</v>
      </c>
      <c r="U29">
        <v>143.5</v>
      </c>
      <c r="V29">
        <v>142.1</v>
      </c>
      <c r="W29">
        <v>133.4</v>
      </c>
      <c r="X29" s="3">
        <v>45502</v>
      </c>
      <c r="Y29" s="4">
        <v>0.41667824074074072</v>
      </c>
      <c r="Z29" t="s">
        <v>83</v>
      </c>
      <c r="AA29" t="s">
        <v>84</v>
      </c>
      <c r="AB29">
        <v>6915</v>
      </c>
      <c r="AC29">
        <v>76</v>
      </c>
      <c r="AD29" s="3">
        <v>45615</v>
      </c>
      <c r="AE29" s="4">
        <v>0.41667824074074072</v>
      </c>
      <c r="AF29" t="s">
        <v>90</v>
      </c>
    </row>
    <row r="30" spans="1:32" x14ac:dyDescent="0.2">
      <c r="A30" t="s">
        <v>91</v>
      </c>
      <c r="B30" t="s">
        <v>72</v>
      </c>
      <c r="C30" t="s">
        <v>92</v>
      </c>
      <c r="D30" t="s">
        <v>93</v>
      </c>
      <c r="E30">
        <v>34</v>
      </c>
      <c r="F30">
        <v>20853328</v>
      </c>
      <c r="G30" t="s">
        <v>75</v>
      </c>
      <c r="H30" t="s">
        <v>46</v>
      </c>
      <c r="I30" t="s">
        <v>46</v>
      </c>
      <c r="J30" t="s">
        <v>46</v>
      </c>
      <c r="K30" t="s">
        <v>46</v>
      </c>
      <c r="L30" t="s">
        <v>95</v>
      </c>
      <c r="M30" s="2">
        <v>45479.541666666664</v>
      </c>
      <c r="N30" s="2">
        <v>45498.541666666664</v>
      </c>
      <c r="O30" t="s">
        <v>46</v>
      </c>
      <c r="P30">
        <v>93</v>
      </c>
      <c r="Q30">
        <v>93</v>
      </c>
      <c r="R30">
        <v>0</v>
      </c>
      <c r="S30">
        <v>0</v>
      </c>
      <c r="T30">
        <v>0</v>
      </c>
      <c r="U30">
        <v>186.5</v>
      </c>
      <c r="V30">
        <v>170.7</v>
      </c>
      <c r="W30">
        <v>127</v>
      </c>
      <c r="X30" s="3">
        <v>45480</v>
      </c>
      <c r="Y30" s="4">
        <v>0.54167824074074078</v>
      </c>
      <c r="Z30" t="s">
        <v>96</v>
      </c>
      <c r="AA30" t="s">
        <v>78</v>
      </c>
      <c r="AB30">
        <v>6915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ALIZ_vérif_25mars</vt:lpstr>
      <vt:lpstr>ALIZ_pré_25mars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Jutras</dc:creator>
  <cp:lastModifiedBy>Alizée Girard</cp:lastModifiedBy>
  <dcterms:created xsi:type="dcterms:W3CDTF">2025-03-25T15:16:55Z</dcterms:created>
  <dcterms:modified xsi:type="dcterms:W3CDTF">2026-01-19T23:45:41Z</dcterms:modified>
</cp:coreProperties>
</file>