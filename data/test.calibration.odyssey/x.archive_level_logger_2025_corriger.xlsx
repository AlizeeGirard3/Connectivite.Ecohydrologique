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9_{FB2A297C-4B2D-4546-AA7C-F34160A2CB21}" xr6:coauthVersionLast="47" xr6:coauthVersionMax="47" xr10:uidLastSave="{00000000-0000-0000-0000-000000000000}"/>
  <bookViews>
    <workbookView xWindow="1880" yWindow="2240" windowWidth="26840" windowHeight="15760" xr2:uid="{2983964F-2E8C-4F48-93F2-99F118422C67}"/>
  </bookViews>
  <sheets>
    <sheet name="Feuil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AF53" i="1" l="1"/>
  <c r="AE53" i="1"/>
  <c r="AD53" i="1"/>
  <c r="AC53" i="1"/>
  <c r="AA53" i="1"/>
  <c r="AB53" i="1" s="1"/>
  <c r="J53" i="1"/>
  <c r="AF52" i="1"/>
  <c r="AE52" i="1"/>
  <c r="AD52" i="1"/>
  <c r="AC52" i="1"/>
  <c r="AA52" i="1"/>
  <c r="AB52" i="1" s="1"/>
  <c r="Y52" i="1"/>
  <c r="Y53" i="1" s="1"/>
  <c r="X52" i="1"/>
  <c r="X53" i="1" s="1"/>
  <c r="W52" i="1"/>
  <c r="W53" i="1" s="1"/>
  <c r="V52" i="1"/>
  <c r="O52" i="1"/>
  <c r="J52" i="1"/>
  <c r="AB51" i="1"/>
  <c r="U51" i="1"/>
  <c r="O51" i="1"/>
  <c r="O49" i="1"/>
  <c r="J49" i="1"/>
  <c r="J50" i="1" s="1"/>
  <c r="O48" i="1"/>
  <c r="AF47" i="1"/>
  <c r="AE47" i="1"/>
  <c r="AD47" i="1"/>
  <c r="AC47" i="1"/>
  <c r="AA47" i="1"/>
  <c r="AB47" i="1" s="1"/>
  <c r="AF46" i="1"/>
  <c r="AE46" i="1"/>
  <c r="AD46" i="1"/>
  <c r="AC46" i="1"/>
  <c r="AA46" i="1"/>
  <c r="AB46" i="1" s="1"/>
  <c r="Y46" i="1"/>
  <c r="Y47" i="1" s="1"/>
  <c r="X46" i="1"/>
  <c r="X47" i="1" s="1"/>
  <c r="W46" i="1"/>
  <c r="W47" i="1" s="1"/>
  <c r="V46" i="1"/>
  <c r="V47" i="1" s="1"/>
  <c r="O46" i="1"/>
  <c r="J46" i="1"/>
  <c r="J47" i="1" s="1"/>
  <c r="AB45" i="1"/>
  <c r="U45" i="1"/>
  <c r="O45" i="1"/>
  <c r="O43" i="1"/>
  <c r="J43" i="1"/>
  <c r="J44" i="1" s="1"/>
  <c r="O42" i="1"/>
  <c r="O40" i="1"/>
  <c r="J40" i="1"/>
  <c r="J41" i="1" s="1"/>
  <c r="O39" i="1"/>
  <c r="AF38" i="1"/>
  <c r="AE38" i="1"/>
  <c r="AD38" i="1"/>
  <c r="AC38" i="1"/>
  <c r="AA38" i="1"/>
  <c r="AB38" i="1" s="1"/>
  <c r="AF37" i="1"/>
  <c r="AE37" i="1"/>
  <c r="AD37" i="1"/>
  <c r="AC37" i="1"/>
  <c r="AA37" i="1"/>
  <c r="AB37" i="1" s="1"/>
  <c r="Y37" i="1"/>
  <c r="Y38" i="1" s="1"/>
  <c r="X37" i="1"/>
  <c r="X38" i="1" s="1"/>
  <c r="W37" i="1"/>
  <c r="W38" i="1" s="1"/>
  <c r="V37" i="1"/>
  <c r="V38" i="1" s="1"/>
  <c r="O37" i="1"/>
  <c r="J37" i="1"/>
  <c r="J38" i="1" s="1"/>
  <c r="AB36" i="1"/>
  <c r="U36" i="1"/>
  <c r="O36" i="1"/>
  <c r="O34" i="1"/>
  <c r="O33" i="1"/>
  <c r="AF32" i="1"/>
  <c r="AE32" i="1"/>
  <c r="AD32" i="1"/>
  <c r="AC32" i="1"/>
  <c r="AA32" i="1"/>
  <c r="AB32" i="1" s="1"/>
  <c r="AF31" i="1"/>
  <c r="AE31" i="1"/>
  <c r="AD31" i="1"/>
  <c r="AC31" i="1"/>
  <c r="AA31" i="1"/>
  <c r="AB31" i="1" s="1"/>
  <c r="Y31" i="1"/>
  <c r="Y32" i="1" s="1"/>
  <c r="X31" i="1"/>
  <c r="X32" i="1" s="1"/>
  <c r="W31" i="1"/>
  <c r="W32" i="1" s="1"/>
  <c r="V31" i="1"/>
  <c r="V32" i="1" s="1"/>
  <c r="O31" i="1"/>
  <c r="J31" i="1"/>
  <c r="J32" i="1" s="1"/>
  <c r="AB30" i="1"/>
  <c r="U30" i="1"/>
  <c r="O30" i="1"/>
  <c r="O28" i="1"/>
  <c r="J28" i="1"/>
  <c r="J29" i="1" s="1"/>
  <c r="O27" i="1"/>
  <c r="O25" i="1"/>
  <c r="J25" i="1"/>
  <c r="J26" i="1" s="1"/>
  <c r="O24" i="1"/>
  <c r="O22" i="1"/>
  <c r="J22" i="1"/>
  <c r="J23" i="1" s="1"/>
  <c r="O21" i="1"/>
  <c r="O19" i="1"/>
  <c r="J19" i="1"/>
  <c r="J20" i="1" s="1"/>
  <c r="O18" i="1"/>
  <c r="O16" i="1"/>
  <c r="J16" i="1"/>
  <c r="J17" i="1" s="1"/>
  <c r="O15" i="1"/>
  <c r="O13" i="1"/>
  <c r="J13" i="1"/>
  <c r="J14" i="1" s="1"/>
  <c r="O12" i="1"/>
  <c r="O10" i="1"/>
  <c r="J10" i="1"/>
  <c r="J11" i="1" s="1"/>
  <c r="O9" i="1"/>
  <c r="J8" i="1"/>
  <c r="O7" i="1"/>
  <c r="O6" i="1"/>
  <c r="O4" i="1"/>
  <c r="J4" i="1"/>
  <c r="J5" i="1" s="1"/>
  <c r="C4" i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O3" i="1"/>
  <c r="AB2" i="1"/>
  <c r="U2" i="1"/>
  <c r="U47" i="1" l="1"/>
  <c r="U52" i="1"/>
  <c r="U31" i="1"/>
  <c r="U46" i="1"/>
  <c r="U32" i="1"/>
  <c r="B30" i="1"/>
  <c r="B32" i="1" s="1"/>
  <c r="B34" i="1" s="1"/>
  <c r="B36" i="1" s="1"/>
  <c r="B38" i="1" s="1"/>
  <c r="B40" i="1" s="1"/>
  <c r="B42" i="1" s="1"/>
  <c r="B44" i="1" s="1"/>
  <c r="B28" i="1"/>
  <c r="B29" i="1" s="1"/>
  <c r="B2" i="1" s="1"/>
  <c r="B31" i="1" s="1"/>
  <c r="B33" i="1" s="1"/>
  <c r="B35" i="1" s="1"/>
  <c r="B37" i="1" s="1"/>
  <c r="B39" i="1" s="1"/>
  <c r="B41" i="1" s="1"/>
  <c r="B43" i="1" s="1"/>
  <c r="B45" i="1" s="1"/>
  <c r="C28" i="1"/>
  <c r="C29" i="1" s="1"/>
  <c r="C2" i="1" s="1"/>
  <c r="C31" i="1" s="1"/>
  <c r="C33" i="1" s="1"/>
  <c r="C35" i="1" s="1"/>
  <c r="C37" i="1" s="1"/>
  <c r="C39" i="1" s="1"/>
  <c r="C41" i="1" s="1"/>
  <c r="C43" i="1" s="1"/>
  <c r="C45" i="1" s="1"/>
  <c r="C30" i="1"/>
  <c r="C32" i="1" s="1"/>
  <c r="C34" i="1" s="1"/>
  <c r="C36" i="1" s="1"/>
  <c r="C38" i="1" s="1"/>
  <c r="C40" i="1" s="1"/>
  <c r="C42" i="1" s="1"/>
  <c r="C44" i="1" s="1"/>
  <c r="U38" i="1"/>
  <c r="U37" i="1"/>
  <c r="V53" i="1"/>
  <c r="U53" i="1" s="1"/>
  <c r="C47" i="1" l="1"/>
  <c r="C49" i="1" s="1"/>
  <c r="C51" i="1" s="1"/>
  <c r="C46" i="1"/>
  <c r="C48" i="1" s="1"/>
  <c r="C50" i="1" s="1"/>
  <c r="B46" i="1"/>
  <c r="B48" i="1" s="1"/>
  <c r="B50" i="1" s="1"/>
  <c r="B47" i="1"/>
  <c r="B49" i="1" s="1"/>
  <c r="B51" i="1" s="1"/>
  <c r="B52" i="1" l="1"/>
  <c r="B53" i="1"/>
  <c r="C53" i="1"/>
  <c r="C52" i="1"/>
</calcChain>
</file>

<file path=xl/sharedStrings.xml><?xml version="1.0" encoding="utf-8"?>
<sst xmlns="http://purl.oclc.org/ooxml/spreadsheetml/main" count="538" uniqueCount="82">
  <si>
    <t>_2025.date.fin</t>
  </si>
  <si>
    <t>NA</t>
  </si>
  <si>
    <t>pending_approbation</t>
  </si>
  <si>
    <t>STH</t>
  </si>
  <si>
    <t>D2.m1m.2025.bis</t>
  </si>
  <si>
    <t>STH.D2</t>
  </si>
  <si>
    <t>HOBO</t>
  </si>
  <si>
    <t xml:space="preserve">Pour valider les mesures des ODYSSEY </t>
  </si>
  <si>
    <t>calibration</t>
  </si>
  <si>
    <t>D2.m1m.2025</t>
  </si>
  <si>
    <t>ODYSSEY</t>
  </si>
  <si>
    <t>démarré le 1 mai entre 10-11h / fini d'installer puits à 17h le 1 mai; + 48h = 3 mai / idem pour la même date de départ</t>
  </si>
  <si>
    <t>offset_measurement</t>
  </si>
  <si>
    <t>D2.canal.2025</t>
  </si>
  <si>
    <t>D2.4.5m.2025</t>
  </si>
  <si>
    <t>D2.6m.2025</t>
  </si>
  <si>
    <t>D2.7.5m.2025</t>
  </si>
  <si>
    <t>D2.9m.2025</t>
  </si>
  <si>
    <t>D2.10.5m.2025</t>
  </si>
  <si>
    <t>* SONDE SUR TY-WRAP - CHANGER EN JUIN, REFAIRE 3 LIGNES DE CALIBRATION / # photo 0614</t>
  </si>
  <si>
    <t>+5,5cm  Twrap 5 mai au X juin</t>
  </si>
  <si>
    <t>D2.15m.2025</t>
  </si>
  <si>
    <t>D2.30m.2025</t>
  </si>
  <si>
    <t>* SONDE SUR TY-WRAP - CHANGER EN JUIN, REFAIRE 3 LIGNES DE CALIBRATION</t>
  </si>
  <si>
    <t>+5 cm Twrap 5 mai au X juin</t>
  </si>
  <si>
    <t>C.m1m.2025</t>
  </si>
  <si>
    <t>STH.C</t>
  </si>
  <si>
    <t>C.canal.2025</t>
  </si>
  <si>
    <t>C.7m.2025</t>
  </si>
  <si>
    <t>C.7.75m.2025</t>
  </si>
  <si>
    <t>C.8.75m.2025</t>
  </si>
  <si>
    <t>C.10m.2025</t>
  </si>
  <si>
    <t>C.15m.2025</t>
  </si>
  <si>
    <t>C.30m.2025</t>
  </si>
  <si>
    <t>fichier.uid</t>
  </si>
  <si>
    <t>lat.garmin.dms</t>
  </si>
  <si>
    <t>long.garmin.dms</t>
  </si>
  <si>
    <t>measure_type</t>
  </si>
  <si>
    <t>measure_status</t>
  </si>
  <si>
    <t>site.uid</t>
  </si>
  <si>
    <t>well.uid</t>
  </si>
  <si>
    <t>trmnt.uid</t>
  </si>
  <si>
    <t>lab.probe.id</t>
  </si>
  <si>
    <t>probe.uid</t>
  </si>
  <si>
    <t>probe.brand</t>
  </si>
  <si>
    <t>cal.length.cm</t>
  </si>
  <si>
    <t>long.fil.cm</t>
  </si>
  <si>
    <t>cal.order</t>
  </si>
  <si>
    <t>long_negative_cal.length_mm_y</t>
  </si>
  <si>
    <t>cal.value_x</t>
  </si>
  <si>
    <t>comment</t>
  </si>
  <si>
    <t>day.begining.aaaa.mm.dd.hh.mm</t>
  </si>
  <si>
    <t>day.end.aaaa.mm.dd.hh.mm</t>
  </si>
  <si>
    <t>distance.m</t>
  </si>
  <si>
    <t>out.long.tuyau.sol.cm</t>
  </si>
  <si>
    <t>pt.haut.cm</t>
  </si>
  <si>
    <t>pt.bas1.cm</t>
  </si>
  <si>
    <t>pt.bas2.cm</t>
  </si>
  <si>
    <t>pt.bas3.cm</t>
  </si>
  <si>
    <t>cal.station_id</t>
  </si>
  <si>
    <t>in.bulleur1.prof.cm</t>
  </si>
  <si>
    <t>in.bulleur1.rel.to.surface.cm</t>
  </si>
  <si>
    <t>in.bulleur1.date.aaaammdd</t>
  </si>
  <si>
    <t>in.bulleur1.time.tz.orig</t>
  </si>
  <si>
    <t>in.bulleur1.date.time.UTC.0</t>
  </si>
  <si>
    <t>in.bulleur1.obs</t>
  </si>
  <si>
    <t>in.bulleur2.prof.cm</t>
  </si>
  <si>
    <t>in.bulleur2.rel.to.surface.cm</t>
  </si>
  <si>
    <t>in.bulleur2.date.aaaammdd</t>
  </si>
  <si>
    <t>in.bulleur2.time.tz.orig</t>
  </si>
  <si>
    <t>in.bulleur2.obs</t>
  </si>
  <si>
    <t>in.bulleur3.prof.cm</t>
  </si>
  <si>
    <t>in.bulleur3.rel.to.surface.cm</t>
  </si>
  <si>
    <t>in.bulleur3.date.aaaammdd</t>
  </si>
  <si>
    <t>in.bulleur3.time.tz.orig</t>
  </si>
  <si>
    <t>in.bulleur3.obs</t>
  </si>
  <si>
    <t>in.bulleur4.prof.cm</t>
  </si>
  <si>
    <t>in.bulleur4.rel.to.surface.cm</t>
  </si>
  <si>
    <t>in.bulleur4.date.aaaammdd</t>
  </si>
  <si>
    <t>in.bulleur4.time.tz.orig</t>
  </si>
  <si>
    <t>in.bulleur4.obs</t>
  </si>
  <si>
    <t>2025-05-03 17:00:01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</si>
</sst>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start/>
      <end/>
      <top/>
      <bottom/>
      <diagonal/>
    </border>
    <border>
      <start style="medium">
        <color indexed="64"/>
      </start>
      <end style="thin">
        <color theme="0" tint="-0.14996795556505021"/>
      </end>
      <top style="thin">
        <color theme="0" tint="-0.14996795556505021"/>
      </top>
      <bottom style="thin">
        <color theme="0" tint="-0.14996795556505021"/>
      </bottom>
      <diagonal/>
    </border>
    <border>
      <start style="thin">
        <color theme="0" tint="-0.14996795556505021"/>
      </start>
      <end style="thin">
        <color theme="0" tint="-0.14996795556505021"/>
      </end>
      <top style="thin">
        <color theme="0" tint="-0.14996795556505021"/>
      </top>
      <bottom style="thin">
        <color theme="0" tint="-0.14996795556505021"/>
      </bottom>
      <diagonal/>
    </border>
    <border>
      <start style="thin">
        <color theme="0" tint="-0.14996795556505021"/>
      </start>
      <end style="thin">
        <color theme="0" tint="-0.14996795556505021"/>
      </end>
      <top/>
      <bottom style="thin">
        <color theme="0" tint="-0.14996795556505021"/>
      </bottom>
      <diagonal/>
    </border>
    <border>
      <start style="thin">
        <color theme="0" tint="-0.14996795556505021"/>
      </start>
      <end style="thin">
        <color theme="0" tint="-0.14996795556505021"/>
      </end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3" borderId="0" xfId="0" applyFill="1"/>
    <xf numFmtId="0" fontId="0" fillId="0" borderId="0" xfId="0" quotePrefix="1"/>
    <xf numFmtId="0" fontId="0" fillId="0" borderId="4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3D88-0B52-E449-8BA4-42EA74C482C7}">
  <dimension ref="A1:AU53"/>
  <sheetViews>
    <sheetView tabSelected="1" topLeftCell="F1" workbookViewId="0">
      <selection activeCell="R27" sqref="R27"/>
    </sheetView>
  </sheetViews>
  <sheetFormatPr baseColWidth="10" defaultRowHeight="16" x14ac:dyDescent="0.2"/>
  <cols>
    <col min="18" max="18" width="28.33203125" customWidth="1"/>
  </cols>
  <sheetData>
    <row r="1" spans="1:47" x14ac:dyDescent="0.2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</row>
    <row r="2" spans="1:47" s="2" customFormat="1" x14ac:dyDescent="0.2">
      <c r="A2" s="1" t="s">
        <v>0</v>
      </c>
      <c r="B2">
        <f t="shared" ref="B2:C2" si="0">B29</f>
        <v>0</v>
      </c>
      <c r="C2">
        <f t="shared" si="0"/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J2" s="2">
        <v>22220787</v>
      </c>
      <c r="K2" s="2" t="s">
        <v>6</v>
      </c>
      <c r="L2" s="2" t="s">
        <v>1</v>
      </c>
      <c r="N2" s="2" t="s">
        <v>1</v>
      </c>
      <c r="O2" s="3" t="s">
        <v>1</v>
      </c>
      <c r="P2" s="2" t="s">
        <v>1</v>
      </c>
      <c r="Q2" s="2" t="s">
        <v>7</v>
      </c>
      <c r="R2" s="8" t="s">
        <v>81</v>
      </c>
      <c r="T2" s="2">
        <v>1</v>
      </c>
      <c r="U2" s="2">
        <f t="shared" ref="U2" si="1">V2-(SUM(W2:Y2)/3)</f>
        <v>0</v>
      </c>
      <c r="Z2" s="2">
        <v>10248</v>
      </c>
      <c r="AB2" s="2">
        <f t="shared" ref="AB2" si="2">AA2*-1</f>
        <v>0</v>
      </c>
    </row>
    <row r="3" spans="1:47" x14ac:dyDescent="0.2">
      <c r="A3" s="1" t="s">
        <v>0</v>
      </c>
      <c r="B3">
        <v>0</v>
      </c>
      <c r="C3">
        <v>0</v>
      </c>
      <c r="D3" s="2" t="s">
        <v>8</v>
      </c>
      <c r="E3" s="2" t="s">
        <v>2</v>
      </c>
      <c r="F3" s="2" t="s">
        <v>3</v>
      </c>
      <c r="G3" t="s">
        <v>9</v>
      </c>
      <c r="H3" s="2" t="s">
        <v>5</v>
      </c>
      <c r="J3" s="4">
        <v>41383</v>
      </c>
      <c r="K3" s="2" t="s">
        <v>10</v>
      </c>
      <c r="L3" s="2">
        <v>20</v>
      </c>
      <c r="M3" s="2">
        <v>80</v>
      </c>
      <c r="N3" s="2">
        <v>1</v>
      </c>
      <c r="O3" s="3">
        <f t="shared" ref="O3:O4" si="3">L3*-10</f>
        <v>-200</v>
      </c>
      <c r="P3">
        <v>1516</v>
      </c>
      <c r="Q3" t="s">
        <v>11</v>
      </c>
      <c r="R3" s="8" t="s">
        <v>81</v>
      </c>
    </row>
    <row r="4" spans="1:47" x14ac:dyDescent="0.2">
      <c r="A4" s="1" t="s">
        <v>0</v>
      </c>
      <c r="B4">
        <f t="shared" ref="B4:C19" si="4">B3</f>
        <v>0</v>
      </c>
      <c r="C4">
        <f t="shared" si="4"/>
        <v>0</v>
      </c>
      <c r="D4" s="2" t="s">
        <v>8</v>
      </c>
      <c r="E4" s="2" t="s">
        <v>2</v>
      </c>
      <c r="F4" t="s">
        <v>3</v>
      </c>
      <c r="G4" t="s">
        <v>9</v>
      </c>
      <c r="H4" t="s">
        <v>5</v>
      </c>
      <c r="J4" s="2">
        <f>J3</f>
        <v>41383</v>
      </c>
      <c r="K4" s="2" t="s">
        <v>10</v>
      </c>
      <c r="L4" s="2">
        <v>80</v>
      </c>
      <c r="M4" s="2">
        <v>80</v>
      </c>
      <c r="N4" s="2">
        <v>2</v>
      </c>
      <c r="O4" s="3">
        <f t="shared" si="3"/>
        <v>-800</v>
      </c>
      <c r="P4">
        <v>2450</v>
      </c>
      <c r="R4" s="8" t="s">
        <v>81</v>
      </c>
    </row>
    <row r="5" spans="1:47" x14ac:dyDescent="0.2">
      <c r="A5" s="1" t="s">
        <v>0</v>
      </c>
      <c r="B5">
        <f t="shared" si="4"/>
        <v>0</v>
      </c>
      <c r="C5">
        <f t="shared" si="4"/>
        <v>0</v>
      </c>
      <c r="D5" s="2" t="s">
        <v>12</v>
      </c>
      <c r="E5" s="2" t="s">
        <v>2</v>
      </c>
      <c r="F5" t="s">
        <v>3</v>
      </c>
      <c r="G5" t="s">
        <v>9</v>
      </c>
      <c r="H5" t="s">
        <v>5</v>
      </c>
      <c r="J5" s="2">
        <f>J4</f>
        <v>41383</v>
      </c>
      <c r="K5" s="2" t="s">
        <v>10</v>
      </c>
      <c r="L5" s="2" t="s">
        <v>1</v>
      </c>
      <c r="M5" s="2">
        <v>80</v>
      </c>
      <c r="N5" s="2" t="s">
        <v>1</v>
      </c>
      <c r="O5" s="3" t="s">
        <v>1</v>
      </c>
      <c r="R5" s="8" t="s">
        <v>81</v>
      </c>
    </row>
    <row r="6" spans="1:47" x14ac:dyDescent="0.2">
      <c r="A6" s="1" t="s">
        <v>0</v>
      </c>
      <c r="B6">
        <f t="shared" si="4"/>
        <v>0</v>
      </c>
      <c r="C6">
        <f t="shared" si="4"/>
        <v>0</v>
      </c>
      <c r="D6" s="2" t="s">
        <v>8</v>
      </c>
      <c r="E6" s="2" t="s">
        <v>2</v>
      </c>
      <c r="F6" s="2" t="s">
        <v>3</v>
      </c>
      <c r="G6" t="s">
        <v>13</v>
      </c>
      <c r="H6" s="2" t="s">
        <v>5</v>
      </c>
      <c r="J6" s="4">
        <v>41370</v>
      </c>
      <c r="K6" s="2" t="s">
        <v>10</v>
      </c>
      <c r="L6" s="2">
        <v>20</v>
      </c>
      <c r="M6" s="2">
        <v>80</v>
      </c>
      <c r="N6" s="2">
        <v>1</v>
      </c>
      <c r="O6" s="3">
        <f t="shared" ref="O6:O7" si="5">L6*-10</f>
        <v>-200</v>
      </c>
      <c r="P6">
        <v>1630</v>
      </c>
      <c r="R6" s="8" t="s">
        <v>81</v>
      </c>
    </row>
    <row r="7" spans="1:47" x14ac:dyDescent="0.2">
      <c r="A7" s="1" t="s">
        <v>0</v>
      </c>
      <c r="B7">
        <f t="shared" si="4"/>
        <v>0</v>
      </c>
      <c r="C7">
        <f t="shared" si="4"/>
        <v>0</v>
      </c>
      <c r="D7" s="2" t="s">
        <v>8</v>
      </c>
      <c r="E7" s="2" t="s">
        <v>2</v>
      </c>
      <c r="F7" t="s">
        <v>3</v>
      </c>
      <c r="G7" t="s">
        <v>13</v>
      </c>
      <c r="H7" t="s">
        <v>5</v>
      </c>
      <c r="J7" s="2">
        <v>41370</v>
      </c>
      <c r="K7" s="2" t="s">
        <v>10</v>
      </c>
      <c r="L7" s="2">
        <v>80</v>
      </c>
      <c r="M7" s="2">
        <v>80</v>
      </c>
      <c r="N7" s="2">
        <v>2</v>
      </c>
      <c r="O7" s="3">
        <f t="shared" si="5"/>
        <v>-800</v>
      </c>
      <c r="P7">
        <v>2730</v>
      </c>
      <c r="R7" s="8" t="s">
        <v>81</v>
      </c>
    </row>
    <row r="8" spans="1:47" x14ac:dyDescent="0.2">
      <c r="A8" s="1" t="s">
        <v>0</v>
      </c>
      <c r="B8">
        <f t="shared" si="4"/>
        <v>0</v>
      </c>
      <c r="C8">
        <f t="shared" si="4"/>
        <v>0</v>
      </c>
      <c r="D8" s="2" t="s">
        <v>12</v>
      </c>
      <c r="E8" s="2" t="s">
        <v>2</v>
      </c>
      <c r="F8" t="s">
        <v>3</v>
      </c>
      <c r="G8" t="s">
        <v>13</v>
      </c>
      <c r="H8" t="s">
        <v>5</v>
      </c>
      <c r="J8" s="2">
        <f>J7</f>
        <v>41370</v>
      </c>
      <c r="K8" s="2" t="s">
        <v>10</v>
      </c>
      <c r="L8" s="2" t="s">
        <v>1</v>
      </c>
      <c r="M8" s="2">
        <v>80</v>
      </c>
      <c r="N8" s="2" t="s">
        <v>1</v>
      </c>
      <c r="O8" s="3" t="s">
        <v>1</v>
      </c>
      <c r="R8" s="8" t="s">
        <v>81</v>
      </c>
    </row>
    <row r="9" spans="1:47" x14ac:dyDescent="0.2">
      <c r="A9" s="1" t="s">
        <v>0</v>
      </c>
      <c r="B9">
        <f t="shared" si="4"/>
        <v>0</v>
      </c>
      <c r="C9">
        <f t="shared" si="4"/>
        <v>0</v>
      </c>
      <c r="D9" s="2" t="s">
        <v>8</v>
      </c>
      <c r="E9" s="2" t="s">
        <v>2</v>
      </c>
      <c r="F9" s="2" t="s">
        <v>3</v>
      </c>
      <c r="G9" t="s">
        <v>14</v>
      </c>
      <c r="H9" s="2" t="s">
        <v>5</v>
      </c>
      <c r="J9" s="4">
        <v>41384</v>
      </c>
      <c r="K9" s="2" t="s">
        <v>10</v>
      </c>
      <c r="L9" s="2">
        <v>20</v>
      </c>
      <c r="M9" s="2">
        <v>80</v>
      </c>
      <c r="N9" s="2">
        <v>1</v>
      </c>
      <c r="O9" s="3">
        <f t="shared" ref="O9:O10" si="6">L9*-10</f>
        <v>-200</v>
      </c>
      <c r="P9">
        <v>1510</v>
      </c>
      <c r="R9" s="8" t="s">
        <v>81</v>
      </c>
    </row>
    <row r="10" spans="1:47" x14ac:dyDescent="0.2">
      <c r="A10" s="1" t="s">
        <v>0</v>
      </c>
      <c r="B10">
        <f t="shared" si="4"/>
        <v>0</v>
      </c>
      <c r="C10">
        <f t="shared" si="4"/>
        <v>0</v>
      </c>
      <c r="D10" s="2" t="s">
        <v>8</v>
      </c>
      <c r="E10" s="2" t="s">
        <v>2</v>
      </c>
      <c r="F10" t="s">
        <v>3</v>
      </c>
      <c r="G10" t="s">
        <v>14</v>
      </c>
      <c r="H10" t="s">
        <v>5</v>
      </c>
      <c r="J10" s="2">
        <f>J9</f>
        <v>41384</v>
      </c>
      <c r="K10" s="2" t="s">
        <v>10</v>
      </c>
      <c r="L10" s="2">
        <v>80</v>
      </c>
      <c r="M10" s="2">
        <v>80</v>
      </c>
      <c r="N10" s="2">
        <v>2</v>
      </c>
      <c r="O10" s="3">
        <f t="shared" si="6"/>
        <v>-800</v>
      </c>
      <c r="P10">
        <v>2443</v>
      </c>
      <c r="R10" s="8" t="s">
        <v>81</v>
      </c>
    </row>
    <row r="11" spans="1:47" x14ac:dyDescent="0.2">
      <c r="A11" s="1" t="s">
        <v>0</v>
      </c>
      <c r="B11">
        <f t="shared" si="4"/>
        <v>0</v>
      </c>
      <c r="C11">
        <f t="shared" si="4"/>
        <v>0</v>
      </c>
      <c r="D11" s="2" t="s">
        <v>12</v>
      </c>
      <c r="E11" s="2" t="s">
        <v>2</v>
      </c>
      <c r="F11" t="s">
        <v>3</v>
      </c>
      <c r="G11" t="s">
        <v>14</v>
      </c>
      <c r="H11" t="s">
        <v>5</v>
      </c>
      <c r="J11" s="2">
        <f>J10</f>
        <v>41384</v>
      </c>
      <c r="K11" s="2" t="s">
        <v>10</v>
      </c>
      <c r="L11" s="2" t="s">
        <v>1</v>
      </c>
      <c r="M11" s="2">
        <v>80</v>
      </c>
      <c r="N11" s="2" t="s">
        <v>1</v>
      </c>
      <c r="O11" s="3" t="s">
        <v>1</v>
      </c>
      <c r="R11" s="8" t="s">
        <v>81</v>
      </c>
    </row>
    <row r="12" spans="1:47" x14ac:dyDescent="0.2">
      <c r="A12" s="1" t="s">
        <v>0</v>
      </c>
      <c r="B12">
        <f t="shared" si="4"/>
        <v>0</v>
      </c>
      <c r="C12">
        <f t="shared" si="4"/>
        <v>0</v>
      </c>
      <c r="D12" s="2" t="s">
        <v>8</v>
      </c>
      <c r="E12" s="2" t="s">
        <v>2</v>
      </c>
      <c r="F12" s="2" t="s">
        <v>3</v>
      </c>
      <c r="G12" t="s">
        <v>15</v>
      </c>
      <c r="H12" s="2" t="s">
        <v>5</v>
      </c>
      <c r="J12" s="4">
        <v>41382</v>
      </c>
      <c r="K12" s="2" t="s">
        <v>10</v>
      </c>
      <c r="L12" s="2">
        <v>20</v>
      </c>
      <c r="M12" s="2">
        <v>80</v>
      </c>
      <c r="N12" s="2">
        <v>1</v>
      </c>
      <c r="O12" s="3">
        <f t="shared" ref="O12:O13" si="7">L12*-10</f>
        <v>-200</v>
      </c>
      <c r="P12">
        <v>1536</v>
      </c>
      <c r="R12" s="8" t="s">
        <v>81</v>
      </c>
    </row>
    <row r="13" spans="1:47" x14ac:dyDescent="0.2">
      <c r="A13" s="1" t="s">
        <v>0</v>
      </c>
      <c r="B13">
        <f t="shared" si="4"/>
        <v>0</v>
      </c>
      <c r="C13">
        <f t="shared" si="4"/>
        <v>0</v>
      </c>
      <c r="D13" s="2" t="s">
        <v>8</v>
      </c>
      <c r="E13" s="2" t="s">
        <v>2</v>
      </c>
      <c r="F13" t="s">
        <v>3</v>
      </c>
      <c r="G13" t="s">
        <v>15</v>
      </c>
      <c r="H13" t="s">
        <v>5</v>
      </c>
      <c r="J13" s="2">
        <f>J12</f>
        <v>41382</v>
      </c>
      <c r="K13" s="2" t="s">
        <v>10</v>
      </c>
      <c r="L13" s="2">
        <v>80</v>
      </c>
      <c r="M13" s="2">
        <v>80</v>
      </c>
      <c r="N13" s="2">
        <v>2</v>
      </c>
      <c r="O13" s="3">
        <f t="shared" si="7"/>
        <v>-800</v>
      </c>
      <c r="P13">
        <v>2465</v>
      </c>
      <c r="R13" s="8" t="s">
        <v>81</v>
      </c>
      <c r="AC13" s="5"/>
      <c r="AD13" s="5"/>
      <c r="AE13" s="5"/>
      <c r="AF13" s="5"/>
    </row>
    <row r="14" spans="1:47" x14ac:dyDescent="0.2">
      <c r="A14" s="1" t="s">
        <v>0</v>
      </c>
      <c r="B14">
        <f t="shared" si="4"/>
        <v>0</v>
      </c>
      <c r="C14">
        <f t="shared" si="4"/>
        <v>0</v>
      </c>
      <c r="D14" s="2" t="s">
        <v>12</v>
      </c>
      <c r="E14" s="2" t="s">
        <v>2</v>
      </c>
      <c r="F14" t="s">
        <v>3</v>
      </c>
      <c r="G14" t="s">
        <v>15</v>
      </c>
      <c r="H14" t="s">
        <v>5</v>
      </c>
      <c r="J14" s="2">
        <f>J13</f>
        <v>41382</v>
      </c>
      <c r="K14" s="2" t="s">
        <v>10</v>
      </c>
      <c r="L14" s="2" t="s">
        <v>1</v>
      </c>
      <c r="M14" s="2">
        <v>80</v>
      </c>
      <c r="N14" s="2" t="s">
        <v>1</v>
      </c>
      <c r="O14" s="3" t="s">
        <v>1</v>
      </c>
      <c r="R14" s="8" t="s">
        <v>81</v>
      </c>
      <c r="AC14" s="5"/>
      <c r="AD14" s="5"/>
      <c r="AE14" s="5"/>
      <c r="AF14" s="5"/>
    </row>
    <row r="15" spans="1:47" x14ac:dyDescent="0.2">
      <c r="A15" s="1" t="s">
        <v>0</v>
      </c>
      <c r="B15">
        <f t="shared" si="4"/>
        <v>0</v>
      </c>
      <c r="C15">
        <f t="shared" si="4"/>
        <v>0</v>
      </c>
      <c r="D15" s="2" t="s">
        <v>8</v>
      </c>
      <c r="E15" s="2" t="s">
        <v>2</v>
      </c>
      <c r="F15" s="2" t="s">
        <v>3</v>
      </c>
      <c r="G15" t="s">
        <v>16</v>
      </c>
      <c r="H15" s="2" t="s">
        <v>5</v>
      </c>
      <c r="J15" s="4">
        <v>41359</v>
      </c>
      <c r="K15" s="2" t="s">
        <v>10</v>
      </c>
      <c r="L15" s="2">
        <v>20</v>
      </c>
      <c r="M15" s="2">
        <v>80</v>
      </c>
      <c r="N15" s="2">
        <v>1</v>
      </c>
      <c r="O15" s="3">
        <f t="shared" ref="O15:O16" si="8">L15*-10</f>
        <v>-200</v>
      </c>
      <c r="P15">
        <v>1726</v>
      </c>
      <c r="R15" s="8" t="s">
        <v>81</v>
      </c>
    </row>
    <row r="16" spans="1:47" x14ac:dyDescent="0.2">
      <c r="A16" s="1" t="s">
        <v>0</v>
      </c>
      <c r="B16">
        <f t="shared" si="4"/>
        <v>0</v>
      </c>
      <c r="C16">
        <f t="shared" si="4"/>
        <v>0</v>
      </c>
      <c r="D16" s="2" t="s">
        <v>8</v>
      </c>
      <c r="E16" s="2" t="s">
        <v>2</v>
      </c>
      <c r="F16" t="s">
        <v>3</v>
      </c>
      <c r="G16" t="s">
        <v>16</v>
      </c>
      <c r="H16" t="s">
        <v>5</v>
      </c>
      <c r="J16" s="2">
        <f>J15</f>
        <v>41359</v>
      </c>
      <c r="K16" s="2" t="s">
        <v>10</v>
      </c>
      <c r="L16" s="2">
        <v>80</v>
      </c>
      <c r="M16" s="2">
        <v>80</v>
      </c>
      <c r="N16" s="2">
        <v>2</v>
      </c>
      <c r="O16" s="3">
        <f t="shared" si="8"/>
        <v>-800</v>
      </c>
      <c r="P16">
        <v>2963</v>
      </c>
      <c r="R16" s="8" t="s">
        <v>81</v>
      </c>
      <c r="AC16" s="5"/>
      <c r="AD16" s="5"/>
      <c r="AE16" s="5"/>
      <c r="AF16" s="5"/>
    </row>
    <row r="17" spans="1:32" x14ac:dyDescent="0.2">
      <c r="A17" s="1" t="s">
        <v>0</v>
      </c>
      <c r="B17">
        <f t="shared" si="4"/>
        <v>0</v>
      </c>
      <c r="C17">
        <f t="shared" si="4"/>
        <v>0</v>
      </c>
      <c r="D17" s="2" t="s">
        <v>12</v>
      </c>
      <c r="E17" s="2" t="s">
        <v>2</v>
      </c>
      <c r="F17" t="s">
        <v>3</v>
      </c>
      <c r="G17" t="s">
        <v>16</v>
      </c>
      <c r="H17" t="s">
        <v>5</v>
      </c>
      <c r="J17" s="2">
        <f>J16</f>
        <v>41359</v>
      </c>
      <c r="K17" s="2" t="s">
        <v>10</v>
      </c>
      <c r="L17" s="2" t="s">
        <v>1</v>
      </c>
      <c r="M17" s="2">
        <v>80</v>
      </c>
      <c r="N17" s="2" t="s">
        <v>1</v>
      </c>
      <c r="O17" s="3" t="s">
        <v>1</v>
      </c>
      <c r="R17" s="8" t="s">
        <v>81</v>
      </c>
      <c r="AC17" s="5"/>
      <c r="AD17" s="5"/>
      <c r="AE17" s="5"/>
      <c r="AF17" s="5"/>
    </row>
    <row r="18" spans="1:32" x14ac:dyDescent="0.2">
      <c r="A18" s="1" t="s">
        <v>0</v>
      </c>
      <c r="B18">
        <f t="shared" si="4"/>
        <v>0</v>
      </c>
      <c r="C18">
        <f t="shared" si="4"/>
        <v>0</v>
      </c>
      <c r="D18" s="2" t="s">
        <v>8</v>
      </c>
      <c r="E18" s="2" t="s">
        <v>2</v>
      </c>
      <c r="F18" s="2" t="s">
        <v>3</v>
      </c>
      <c r="G18" t="s">
        <v>17</v>
      </c>
      <c r="H18" s="2" t="s">
        <v>5</v>
      </c>
      <c r="J18" s="4">
        <v>42564</v>
      </c>
      <c r="K18" s="2" t="s">
        <v>10</v>
      </c>
      <c r="L18" s="2">
        <v>20</v>
      </c>
      <c r="M18" s="2">
        <v>140</v>
      </c>
      <c r="N18" s="2">
        <v>1</v>
      </c>
      <c r="O18" s="3">
        <f t="shared" ref="O18:O19" si="9">L18*-10</f>
        <v>-200</v>
      </c>
      <c r="P18">
        <v>1839</v>
      </c>
      <c r="R18" s="8" t="s">
        <v>81</v>
      </c>
    </row>
    <row r="19" spans="1:32" x14ac:dyDescent="0.2">
      <c r="A19" s="1" t="s">
        <v>0</v>
      </c>
      <c r="B19">
        <f t="shared" si="4"/>
        <v>0</v>
      </c>
      <c r="C19">
        <f t="shared" si="4"/>
        <v>0</v>
      </c>
      <c r="D19" s="2" t="s">
        <v>8</v>
      </c>
      <c r="E19" s="2" t="s">
        <v>2</v>
      </c>
      <c r="F19" t="s">
        <v>3</v>
      </c>
      <c r="G19" t="s">
        <v>17</v>
      </c>
      <c r="H19" t="s">
        <v>5</v>
      </c>
      <c r="J19" s="2">
        <f>J18</f>
        <v>42564</v>
      </c>
      <c r="K19" s="2" t="s">
        <v>10</v>
      </c>
      <c r="L19" s="2">
        <v>140</v>
      </c>
      <c r="M19" s="2">
        <v>140</v>
      </c>
      <c r="N19" s="2">
        <v>2</v>
      </c>
      <c r="O19" s="3">
        <f t="shared" si="9"/>
        <v>-1400</v>
      </c>
      <c r="P19">
        <v>3711</v>
      </c>
      <c r="R19" s="8" t="s">
        <v>81</v>
      </c>
      <c r="AC19" s="5"/>
      <c r="AD19" s="5"/>
      <c r="AE19" s="5"/>
      <c r="AF19" s="5"/>
    </row>
    <row r="20" spans="1:32" x14ac:dyDescent="0.2">
      <c r="A20" s="1" t="s">
        <v>0</v>
      </c>
      <c r="B20">
        <f t="shared" ref="B20:C29" si="10">B19</f>
        <v>0</v>
      </c>
      <c r="C20">
        <f t="shared" si="10"/>
        <v>0</v>
      </c>
      <c r="D20" s="2" t="s">
        <v>12</v>
      </c>
      <c r="E20" s="2" t="s">
        <v>2</v>
      </c>
      <c r="F20" t="s">
        <v>3</v>
      </c>
      <c r="G20" t="s">
        <v>17</v>
      </c>
      <c r="H20" t="s">
        <v>5</v>
      </c>
      <c r="J20" s="2">
        <f>J19</f>
        <v>42564</v>
      </c>
      <c r="K20" s="2" t="s">
        <v>10</v>
      </c>
      <c r="L20" s="2" t="s">
        <v>1</v>
      </c>
      <c r="M20" s="2">
        <v>140</v>
      </c>
      <c r="N20" s="2" t="s">
        <v>1</v>
      </c>
      <c r="O20" s="3" t="s">
        <v>1</v>
      </c>
      <c r="R20" s="8" t="s">
        <v>81</v>
      </c>
      <c r="AC20" s="5"/>
      <c r="AD20" s="5"/>
      <c r="AE20" s="5"/>
      <c r="AF20" s="5"/>
    </row>
    <row r="21" spans="1:32" x14ac:dyDescent="0.2">
      <c r="A21" s="1" t="s">
        <v>0</v>
      </c>
      <c r="B21">
        <f t="shared" si="10"/>
        <v>0</v>
      </c>
      <c r="C21">
        <f t="shared" si="10"/>
        <v>0</v>
      </c>
      <c r="D21" s="2" t="s">
        <v>8</v>
      </c>
      <c r="E21" s="2" t="s">
        <v>2</v>
      </c>
      <c r="F21" s="2" t="s">
        <v>3</v>
      </c>
      <c r="G21" t="s">
        <v>18</v>
      </c>
      <c r="H21" s="2" t="s">
        <v>5</v>
      </c>
      <c r="J21" s="4">
        <v>41379</v>
      </c>
      <c r="K21" s="2" t="s">
        <v>10</v>
      </c>
      <c r="L21" s="2">
        <v>20</v>
      </c>
      <c r="M21" s="2">
        <v>80</v>
      </c>
      <c r="N21" s="2">
        <v>1</v>
      </c>
      <c r="O21" s="3">
        <f t="shared" ref="O21:O22" si="11">L21*-10</f>
        <v>-200</v>
      </c>
      <c r="P21">
        <v>1641</v>
      </c>
      <c r="Q21" t="s">
        <v>19</v>
      </c>
      <c r="R21" s="8" t="s">
        <v>81</v>
      </c>
      <c r="U21" s="6" t="s">
        <v>20</v>
      </c>
    </row>
    <row r="22" spans="1:32" x14ac:dyDescent="0.2">
      <c r="A22" s="1" t="s">
        <v>0</v>
      </c>
      <c r="B22">
        <f t="shared" si="10"/>
        <v>0</v>
      </c>
      <c r="C22">
        <f t="shared" si="10"/>
        <v>0</v>
      </c>
      <c r="D22" s="2" t="s">
        <v>8</v>
      </c>
      <c r="E22" s="2" t="s">
        <v>2</v>
      </c>
      <c r="F22" t="s">
        <v>3</v>
      </c>
      <c r="G22" t="s">
        <v>18</v>
      </c>
      <c r="H22" t="s">
        <v>5</v>
      </c>
      <c r="J22" s="2">
        <f>J21</f>
        <v>41379</v>
      </c>
      <c r="K22" s="2" t="s">
        <v>10</v>
      </c>
      <c r="L22" s="2">
        <v>80</v>
      </c>
      <c r="M22" s="2">
        <v>80</v>
      </c>
      <c r="N22" s="2">
        <v>2</v>
      </c>
      <c r="O22" s="3">
        <f t="shared" si="11"/>
        <v>-800</v>
      </c>
      <c r="P22">
        <v>2759</v>
      </c>
      <c r="R22" s="8" t="s">
        <v>81</v>
      </c>
      <c r="AC22" s="5"/>
      <c r="AD22" s="5"/>
      <c r="AE22" s="5"/>
      <c r="AF22" s="5"/>
    </row>
    <row r="23" spans="1:32" x14ac:dyDescent="0.2">
      <c r="A23" s="1" t="s">
        <v>0</v>
      </c>
      <c r="B23">
        <f t="shared" si="10"/>
        <v>0</v>
      </c>
      <c r="C23">
        <f t="shared" si="10"/>
        <v>0</v>
      </c>
      <c r="D23" s="2" t="s">
        <v>12</v>
      </c>
      <c r="E23" s="2" t="s">
        <v>2</v>
      </c>
      <c r="F23" t="s">
        <v>3</v>
      </c>
      <c r="G23" t="s">
        <v>18</v>
      </c>
      <c r="H23" t="s">
        <v>5</v>
      </c>
      <c r="J23" s="2">
        <f>J22</f>
        <v>41379</v>
      </c>
      <c r="K23" s="2" t="s">
        <v>10</v>
      </c>
      <c r="L23" s="2" t="s">
        <v>1</v>
      </c>
      <c r="M23" s="2">
        <v>80</v>
      </c>
      <c r="N23" s="2" t="s">
        <v>1</v>
      </c>
      <c r="O23" s="3" t="s">
        <v>1</v>
      </c>
      <c r="R23" s="8" t="s">
        <v>81</v>
      </c>
      <c r="AC23" s="5"/>
      <c r="AD23" s="5"/>
      <c r="AE23" s="5"/>
      <c r="AF23" s="5"/>
    </row>
    <row r="24" spans="1:32" x14ac:dyDescent="0.2">
      <c r="A24" s="1" t="s">
        <v>0</v>
      </c>
      <c r="B24">
        <f t="shared" si="10"/>
        <v>0</v>
      </c>
      <c r="C24">
        <f t="shared" si="10"/>
        <v>0</v>
      </c>
      <c r="D24" s="2" t="s">
        <v>8</v>
      </c>
      <c r="E24" s="2" t="s">
        <v>2</v>
      </c>
      <c r="F24" s="2" t="s">
        <v>3</v>
      </c>
      <c r="G24" t="s">
        <v>21</v>
      </c>
      <c r="H24" s="2" t="s">
        <v>5</v>
      </c>
      <c r="J24" s="4">
        <v>41374</v>
      </c>
      <c r="K24" s="2" t="s">
        <v>10</v>
      </c>
      <c r="L24" s="2">
        <v>20</v>
      </c>
      <c r="M24" s="2">
        <v>80</v>
      </c>
      <c r="N24" s="2">
        <v>1</v>
      </c>
      <c r="O24" s="3">
        <f t="shared" ref="O24:O25" si="12">L24*-10</f>
        <v>-200</v>
      </c>
      <c r="P24">
        <v>1756</v>
      </c>
      <c r="Q24" t="s">
        <v>19</v>
      </c>
      <c r="R24" s="8" t="s">
        <v>81</v>
      </c>
      <c r="U24" s="6" t="s">
        <v>20</v>
      </c>
    </row>
    <row r="25" spans="1:32" x14ac:dyDescent="0.2">
      <c r="A25" s="1" t="s">
        <v>0</v>
      </c>
      <c r="B25">
        <f t="shared" si="10"/>
        <v>0</v>
      </c>
      <c r="C25">
        <f t="shared" si="10"/>
        <v>0</v>
      </c>
      <c r="D25" s="2" t="s">
        <v>8</v>
      </c>
      <c r="E25" s="2" t="s">
        <v>2</v>
      </c>
      <c r="F25" t="s">
        <v>3</v>
      </c>
      <c r="G25" t="s">
        <v>21</v>
      </c>
      <c r="H25" t="s">
        <v>5</v>
      </c>
      <c r="J25" s="2">
        <f>J24</f>
        <v>41374</v>
      </c>
      <c r="K25" s="2" t="s">
        <v>10</v>
      </c>
      <c r="L25" s="2">
        <v>80</v>
      </c>
      <c r="M25" s="2">
        <v>80</v>
      </c>
      <c r="N25" s="2">
        <v>2</v>
      </c>
      <c r="O25" s="3">
        <f t="shared" si="12"/>
        <v>-800</v>
      </c>
      <c r="P25">
        <v>2964</v>
      </c>
      <c r="R25" s="8" t="s">
        <v>81</v>
      </c>
      <c r="AC25" s="5"/>
      <c r="AD25" s="5"/>
      <c r="AE25" s="5"/>
      <c r="AF25" s="5"/>
    </row>
    <row r="26" spans="1:32" x14ac:dyDescent="0.2">
      <c r="A26" s="1" t="s">
        <v>0</v>
      </c>
      <c r="B26">
        <f t="shared" si="10"/>
        <v>0</v>
      </c>
      <c r="C26">
        <f t="shared" si="10"/>
        <v>0</v>
      </c>
      <c r="D26" s="2" t="s">
        <v>12</v>
      </c>
      <c r="E26" s="2" t="s">
        <v>2</v>
      </c>
      <c r="F26" t="s">
        <v>3</v>
      </c>
      <c r="G26" t="s">
        <v>21</v>
      </c>
      <c r="H26" t="s">
        <v>5</v>
      </c>
      <c r="J26" s="2">
        <f>J25</f>
        <v>41374</v>
      </c>
      <c r="K26" s="2" t="s">
        <v>10</v>
      </c>
      <c r="L26" s="2" t="s">
        <v>1</v>
      </c>
      <c r="M26" s="2">
        <v>80</v>
      </c>
      <c r="N26" s="2" t="s">
        <v>1</v>
      </c>
      <c r="O26" s="3" t="s">
        <v>1</v>
      </c>
      <c r="R26" s="8" t="s">
        <v>81</v>
      </c>
      <c r="AC26" s="5"/>
      <c r="AD26" s="5"/>
      <c r="AE26" s="5"/>
      <c r="AF26" s="5"/>
    </row>
    <row r="27" spans="1:32" x14ac:dyDescent="0.2">
      <c r="A27" s="1" t="s">
        <v>0</v>
      </c>
      <c r="B27">
        <f t="shared" si="10"/>
        <v>0</v>
      </c>
      <c r="C27">
        <f t="shared" si="10"/>
        <v>0</v>
      </c>
      <c r="D27" s="2" t="s">
        <v>8</v>
      </c>
      <c r="E27" s="2" t="s">
        <v>2</v>
      </c>
      <c r="F27" s="2" t="s">
        <v>3</v>
      </c>
      <c r="G27" t="s">
        <v>22</v>
      </c>
      <c r="H27" s="2" t="s">
        <v>5</v>
      </c>
      <c r="J27" s="4">
        <v>41368</v>
      </c>
      <c r="K27" s="2" t="s">
        <v>10</v>
      </c>
      <c r="L27" s="2">
        <v>20</v>
      </c>
      <c r="M27" s="2">
        <v>80</v>
      </c>
      <c r="N27" s="2">
        <v>1</v>
      </c>
      <c r="O27" s="3">
        <f t="shared" ref="O27:O28" si="13">L27*-10</f>
        <v>-200</v>
      </c>
      <c r="P27">
        <v>1650</v>
      </c>
      <c r="Q27" t="s">
        <v>23</v>
      </c>
      <c r="R27" s="8" t="s">
        <v>81</v>
      </c>
      <c r="U27" s="6" t="s">
        <v>24</v>
      </c>
    </row>
    <row r="28" spans="1:32" x14ac:dyDescent="0.2">
      <c r="A28" s="1" t="s">
        <v>0</v>
      </c>
      <c r="B28">
        <f t="shared" si="10"/>
        <v>0</v>
      </c>
      <c r="C28">
        <f t="shared" si="10"/>
        <v>0</v>
      </c>
      <c r="D28" s="2" t="s">
        <v>8</v>
      </c>
      <c r="E28" s="2" t="s">
        <v>2</v>
      </c>
      <c r="F28" t="s">
        <v>3</v>
      </c>
      <c r="G28" t="s">
        <v>22</v>
      </c>
      <c r="H28" t="s">
        <v>5</v>
      </c>
      <c r="J28" s="2">
        <f>J27</f>
        <v>41368</v>
      </c>
      <c r="K28" s="2" t="s">
        <v>10</v>
      </c>
      <c r="L28" s="2">
        <v>80</v>
      </c>
      <c r="M28" s="2">
        <v>80</v>
      </c>
      <c r="N28" s="2">
        <v>2</v>
      </c>
      <c r="O28" s="3">
        <f t="shared" si="13"/>
        <v>-800</v>
      </c>
      <c r="P28">
        <v>2877</v>
      </c>
      <c r="R28" s="8" t="s">
        <v>81</v>
      </c>
      <c r="AC28" s="5"/>
      <c r="AD28" s="5"/>
      <c r="AE28" s="5"/>
      <c r="AF28" s="5"/>
    </row>
    <row r="29" spans="1:32" x14ac:dyDescent="0.2">
      <c r="A29" s="1" t="s">
        <v>0</v>
      </c>
      <c r="B29">
        <f t="shared" si="10"/>
        <v>0</v>
      </c>
      <c r="C29">
        <f t="shared" si="10"/>
        <v>0</v>
      </c>
      <c r="D29" s="2" t="s">
        <v>12</v>
      </c>
      <c r="E29" s="2" t="s">
        <v>2</v>
      </c>
      <c r="F29" t="s">
        <v>3</v>
      </c>
      <c r="G29" t="s">
        <v>22</v>
      </c>
      <c r="H29" t="s">
        <v>5</v>
      </c>
      <c r="J29" s="2">
        <f>J28</f>
        <v>41368</v>
      </c>
      <c r="K29" s="2" t="s">
        <v>10</v>
      </c>
      <c r="L29" s="2" t="s">
        <v>1</v>
      </c>
      <c r="M29" s="2">
        <v>80</v>
      </c>
      <c r="N29" s="2" t="s">
        <v>1</v>
      </c>
      <c r="O29" s="3" t="s">
        <v>1</v>
      </c>
      <c r="R29" s="8" t="s">
        <v>81</v>
      </c>
      <c r="AC29" s="5"/>
      <c r="AD29" s="5"/>
      <c r="AE29" s="5"/>
      <c r="AF29" s="5"/>
    </row>
    <row r="30" spans="1:32" s="2" customFormat="1" x14ac:dyDescent="0.2">
      <c r="A30" s="1" t="s">
        <v>0</v>
      </c>
      <c r="B30" s="2">
        <f>B27</f>
        <v>0</v>
      </c>
      <c r="C30" s="2">
        <f>C27</f>
        <v>0</v>
      </c>
      <c r="D30" s="2" t="s">
        <v>8</v>
      </c>
      <c r="E30" s="2" t="s">
        <v>2</v>
      </c>
      <c r="F30" s="2" t="s">
        <v>3</v>
      </c>
      <c r="G30" s="2" t="s">
        <v>25</v>
      </c>
      <c r="H30" s="2" t="s">
        <v>26</v>
      </c>
      <c r="J30" s="4">
        <v>41387</v>
      </c>
      <c r="K30" s="2" t="s">
        <v>10</v>
      </c>
      <c r="L30" s="2">
        <v>20</v>
      </c>
      <c r="M30" s="2">
        <v>80</v>
      </c>
      <c r="N30" s="2">
        <v>1</v>
      </c>
      <c r="O30" s="3">
        <f t="shared" ref="O30:O52" si="14">L30*-10</f>
        <v>-200</v>
      </c>
      <c r="P30" s="2">
        <v>1645</v>
      </c>
      <c r="R30" s="8" t="s">
        <v>81</v>
      </c>
      <c r="T30" s="2">
        <v>1</v>
      </c>
      <c r="U30" s="2">
        <f t="shared" ref="U30:U53" si="15">V30-(SUM(W30:Y30)/3)</f>
        <v>0</v>
      </c>
      <c r="Z30" s="2" t="s">
        <v>1</v>
      </c>
      <c r="AB30" s="2">
        <f t="shared" ref="AB30:AB53" si="16">AA30*-1</f>
        <v>0</v>
      </c>
    </row>
    <row r="31" spans="1:32" s="2" customFormat="1" x14ac:dyDescent="0.2">
      <c r="A31" s="1" t="s">
        <v>0</v>
      </c>
      <c r="B31" s="2">
        <f>B2</f>
        <v>0</v>
      </c>
      <c r="C31" s="2">
        <f>C2</f>
        <v>0</v>
      </c>
      <c r="D31" s="2" t="s">
        <v>8</v>
      </c>
      <c r="E31" s="2" t="s">
        <v>2</v>
      </c>
      <c r="F31" s="2" t="s">
        <v>3</v>
      </c>
      <c r="G31" s="2" t="s">
        <v>25</v>
      </c>
      <c r="H31" s="2" t="s">
        <v>26</v>
      </c>
      <c r="J31" s="2">
        <f>J30</f>
        <v>41387</v>
      </c>
      <c r="K31" s="2" t="s">
        <v>10</v>
      </c>
      <c r="L31" s="2">
        <v>80</v>
      </c>
      <c r="M31" s="2">
        <v>80</v>
      </c>
      <c r="N31" s="2">
        <v>2</v>
      </c>
      <c r="O31" s="3">
        <f t="shared" si="14"/>
        <v>-800</v>
      </c>
      <c r="P31" s="2">
        <v>2755</v>
      </c>
      <c r="R31" s="8" t="s">
        <v>81</v>
      </c>
      <c r="T31" s="2">
        <v>1</v>
      </c>
      <c r="U31" s="2">
        <f t="shared" si="15"/>
        <v>0</v>
      </c>
      <c r="V31" s="2">
        <f>V30</f>
        <v>0</v>
      </c>
      <c r="W31" s="2">
        <f t="shared" ref="W31:Y32" si="17">W30</f>
        <v>0</v>
      </c>
      <c r="X31" s="2">
        <f t="shared" si="17"/>
        <v>0</v>
      </c>
      <c r="Y31" s="2">
        <f t="shared" si="17"/>
        <v>0</v>
      </c>
      <c r="Z31" s="2" t="s">
        <v>1</v>
      </c>
      <c r="AA31" s="2">
        <f>AA30</f>
        <v>0</v>
      </c>
      <c r="AB31" s="2">
        <f t="shared" si="16"/>
        <v>0</v>
      </c>
      <c r="AC31" s="2">
        <f>AC30</f>
        <v>0</v>
      </c>
      <c r="AD31" s="2">
        <f t="shared" ref="AD31:AF31" si="18">AD30</f>
        <v>0</v>
      </c>
      <c r="AE31" s="2">
        <f t="shared" si="18"/>
        <v>0</v>
      </c>
      <c r="AF31" s="2">
        <f t="shared" si="18"/>
        <v>0</v>
      </c>
    </row>
    <row r="32" spans="1:32" s="2" customFormat="1" x14ac:dyDescent="0.2">
      <c r="A32" s="1" t="s">
        <v>0</v>
      </c>
      <c r="B32" s="2">
        <f>B30</f>
        <v>0</v>
      </c>
      <c r="C32" s="2">
        <f>C30</f>
        <v>0</v>
      </c>
      <c r="D32" s="2" t="s">
        <v>12</v>
      </c>
      <c r="E32" s="2" t="s">
        <v>2</v>
      </c>
      <c r="F32" s="2" t="s">
        <v>3</v>
      </c>
      <c r="G32" s="2" t="s">
        <v>25</v>
      </c>
      <c r="H32" s="2" t="s">
        <v>26</v>
      </c>
      <c r="J32" s="2">
        <f>J31</f>
        <v>41387</v>
      </c>
      <c r="K32" s="2" t="s">
        <v>10</v>
      </c>
      <c r="L32" s="2" t="s">
        <v>1</v>
      </c>
      <c r="M32" s="2">
        <v>80</v>
      </c>
      <c r="N32" s="2" t="s">
        <v>1</v>
      </c>
      <c r="O32" s="3" t="s">
        <v>1</v>
      </c>
      <c r="R32" s="8" t="s">
        <v>81</v>
      </c>
      <c r="T32" s="2">
        <v>1</v>
      </c>
      <c r="U32" s="2">
        <f t="shared" si="15"/>
        <v>0</v>
      </c>
      <c r="V32" s="2">
        <f>V31</f>
        <v>0</v>
      </c>
      <c r="W32" s="2">
        <f t="shared" si="17"/>
        <v>0</v>
      </c>
      <c r="X32" s="2">
        <f t="shared" si="17"/>
        <v>0</v>
      </c>
      <c r="Y32" s="2">
        <f t="shared" si="17"/>
        <v>0</v>
      </c>
      <c r="Z32" s="2" t="s">
        <v>1</v>
      </c>
      <c r="AA32" s="2">
        <f>AA30</f>
        <v>0</v>
      </c>
      <c r="AB32" s="2">
        <f t="shared" si="16"/>
        <v>0</v>
      </c>
      <c r="AC32" s="2">
        <f>AC30</f>
        <v>0</v>
      </c>
      <c r="AD32" s="2">
        <f t="shared" ref="AD32:AF32" si="19">AD30</f>
        <v>0</v>
      </c>
      <c r="AE32" s="2">
        <f t="shared" si="19"/>
        <v>0</v>
      </c>
      <c r="AF32" s="2">
        <f t="shared" si="19"/>
        <v>0</v>
      </c>
    </row>
    <row r="33" spans="1:32" s="2" customFormat="1" x14ac:dyDescent="0.2">
      <c r="A33" s="1" t="s">
        <v>0</v>
      </c>
      <c r="B33" s="2">
        <f t="shared" ref="B33:C34" si="20">B31</f>
        <v>0</v>
      </c>
      <c r="C33" s="2">
        <f t="shared" si="20"/>
        <v>0</v>
      </c>
      <c r="D33" s="2" t="s">
        <v>8</v>
      </c>
      <c r="E33" s="2" t="s">
        <v>2</v>
      </c>
      <c r="F33" s="2" t="s">
        <v>3</v>
      </c>
      <c r="G33" s="2" t="s">
        <v>27</v>
      </c>
      <c r="H33" s="2" t="s">
        <v>26</v>
      </c>
      <c r="J33" s="4">
        <v>41378</v>
      </c>
      <c r="K33" s="2" t="s">
        <v>10</v>
      </c>
      <c r="L33" s="2">
        <v>20</v>
      </c>
      <c r="M33" s="2">
        <v>80</v>
      </c>
      <c r="N33" s="2">
        <v>1</v>
      </c>
      <c r="O33" s="3">
        <f t="shared" si="14"/>
        <v>-200</v>
      </c>
      <c r="P33" s="2">
        <v>1787</v>
      </c>
      <c r="R33" s="8" t="s">
        <v>81</v>
      </c>
    </row>
    <row r="34" spans="1:32" s="2" customFormat="1" x14ac:dyDescent="0.2">
      <c r="A34" s="1" t="s">
        <v>0</v>
      </c>
      <c r="B34" s="2">
        <f t="shared" si="20"/>
        <v>0</v>
      </c>
      <c r="C34" s="2">
        <f t="shared" si="20"/>
        <v>0</v>
      </c>
      <c r="D34" s="2" t="s">
        <v>8</v>
      </c>
      <c r="E34" s="2" t="s">
        <v>2</v>
      </c>
      <c r="F34" s="2" t="s">
        <v>3</v>
      </c>
      <c r="G34" s="2" t="s">
        <v>27</v>
      </c>
      <c r="H34" s="2" t="s">
        <v>26</v>
      </c>
      <c r="J34" s="4">
        <v>41378</v>
      </c>
      <c r="K34" s="2" t="s">
        <v>10</v>
      </c>
      <c r="L34" s="2">
        <v>80</v>
      </c>
      <c r="M34" s="2">
        <v>80</v>
      </c>
      <c r="N34" s="2">
        <v>2</v>
      </c>
      <c r="O34" s="3">
        <f t="shared" si="14"/>
        <v>-800</v>
      </c>
      <c r="P34" s="2">
        <v>3056</v>
      </c>
      <c r="R34" s="8" t="s">
        <v>81</v>
      </c>
    </row>
    <row r="35" spans="1:32" s="2" customFormat="1" x14ac:dyDescent="0.2">
      <c r="A35" s="1" t="s">
        <v>0</v>
      </c>
      <c r="B35" s="2">
        <f>B33</f>
        <v>0</v>
      </c>
      <c r="C35" s="2">
        <f>C33</f>
        <v>0</v>
      </c>
      <c r="D35" s="2" t="s">
        <v>12</v>
      </c>
      <c r="E35" s="2" t="s">
        <v>2</v>
      </c>
      <c r="F35" s="2" t="s">
        <v>3</v>
      </c>
      <c r="G35" s="2" t="s">
        <v>27</v>
      </c>
      <c r="H35" s="2" t="s">
        <v>26</v>
      </c>
      <c r="J35" s="4">
        <v>41378</v>
      </c>
      <c r="K35" s="2" t="s">
        <v>10</v>
      </c>
      <c r="L35" s="2" t="s">
        <v>1</v>
      </c>
      <c r="M35" s="2">
        <v>80</v>
      </c>
      <c r="N35" s="2" t="s">
        <v>1</v>
      </c>
      <c r="O35" s="3" t="s">
        <v>1</v>
      </c>
      <c r="R35" s="8" t="s">
        <v>81</v>
      </c>
    </row>
    <row r="36" spans="1:32" s="2" customFormat="1" x14ac:dyDescent="0.2">
      <c r="A36" s="1" t="s">
        <v>0</v>
      </c>
      <c r="B36" s="2">
        <f t="shared" ref="B36:C45" si="21">B34</f>
        <v>0</v>
      </c>
      <c r="C36" s="2">
        <f t="shared" si="21"/>
        <v>0</v>
      </c>
      <c r="D36" s="2" t="s">
        <v>8</v>
      </c>
      <c r="E36" s="2" t="s">
        <v>2</v>
      </c>
      <c r="F36" s="2" t="s">
        <v>3</v>
      </c>
      <c r="G36" s="2" t="s">
        <v>28</v>
      </c>
      <c r="H36" s="2" t="s">
        <v>26</v>
      </c>
      <c r="J36" s="4">
        <v>42565</v>
      </c>
      <c r="K36" s="2" t="s">
        <v>10</v>
      </c>
      <c r="L36" s="2">
        <v>20</v>
      </c>
      <c r="M36" s="2">
        <v>140</v>
      </c>
      <c r="N36" s="2">
        <v>1</v>
      </c>
      <c r="O36" s="3">
        <f t="shared" si="14"/>
        <v>-200</v>
      </c>
      <c r="P36" s="2">
        <v>1846</v>
      </c>
      <c r="R36" s="8" t="s">
        <v>81</v>
      </c>
      <c r="T36" s="2">
        <v>7</v>
      </c>
      <c r="U36" s="2">
        <f t="shared" si="15"/>
        <v>0</v>
      </c>
      <c r="Z36" s="2" t="s">
        <v>1</v>
      </c>
      <c r="AB36" s="2">
        <f t="shared" si="16"/>
        <v>0</v>
      </c>
    </row>
    <row r="37" spans="1:32" s="2" customFormat="1" x14ac:dyDescent="0.2">
      <c r="A37" s="1" t="s">
        <v>0</v>
      </c>
      <c r="B37" s="2">
        <f t="shared" si="21"/>
        <v>0</v>
      </c>
      <c r="C37" s="2">
        <f t="shared" si="21"/>
        <v>0</v>
      </c>
      <c r="D37" s="2" t="s">
        <v>8</v>
      </c>
      <c r="E37" s="2" t="s">
        <v>2</v>
      </c>
      <c r="F37" s="2" t="s">
        <v>3</v>
      </c>
      <c r="G37" s="2" t="s">
        <v>28</v>
      </c>
      <c r="H37" s="2" t="s">
        <v>26</v>
      </c>
      <c r="J37" s="2">
        <f>J36</f>
        <v>42565</v>
      </c>
      <c r="K37" s="2" t="s">
        <v>10</v>
      </c>
      <c r="L37" s="2">
        <v>140</v>
      </c>
      <c r="M37" s="2">
        <v>140</v>
      </c>
      <c r="N37" s="2">
        <v>2</v>
      </c>
      <c r="O37" s="3">
        <f t="shared" si="14"/>
        <v>-1400</v>
      </c>
      <c r="P37" s="2">
        <v>3704</v>
      </c>
      <c r="R37" s="8" t="s">
        <v>81</v>
      </c>
      <c r="T37" s="2">
        <v>7</v>
      </c>
      <c r="U37" s="2">
        <f t="shared" si="15"/>
        <v>0</v>
      </c>
      <c r="V37" s="2">
        <f>V36</f>
        <v>0</v>
      </c>
      <c r="W37" s="2">
        <f t="shared" ref="W37:Y38" si="22">W36</f>
        <v>0</v>
      </c>
      <c r="X37" s="2">
        <f t="shared" si="22"/>
        <v>0</v>
      </c>
      <c r="Y37" s="2">
        <f t="shared" si="22"/>
        <v>0</v>
      </c>
      <c r="Z37" s="2" t="s">
        <v>1</v>
      </c>
      <c r="AA37" s="2">
        <f>AA36</f>
        <v>0</v>
      </c>
      <c r="AB37" s="2">
        <f t="shared" si="16"/>
        <v>0</v>
      </c>
      <c r="AC37" s="2">
        <f>AC36</f>
        <v>0</v>
      </c>
      <c r="AD37" s="2">
        <f t="shared" ref="AD37:AF37" si="23">AD36</f>
        <v>0</v>
      </c>
      <c r="AE37" s="2">
        <f t="shared" si="23"/>
        <v>0</v>
      </c>
      <c r="AF37" s="2">
        <f t="shared" si="23"/>
        <v>0</v>
      </c>
    </row>
    <row r="38" spans="1:32" s="2" customFormat="1" x14ac:dyDescent="0.2">
      <c r="A38" s="1" t="s">
        <v>0</v>
      </c>
      <c r="B38" s="2">
        <f t="shared" si="21"/>
        <v>0</v>
      </c>
      <c r="C38" s="2">
        <f t="shared" si="21"/>
        <v>0</v>
      </c>
      <c r="D38" s="2" t="s">
        <v>12</v>
      </c>
      <c r="E38" s="2" t="s">
        <v>2</v>
      </c>
      <c r="F38" s="2" t="s">
        <v>3</v>
      </c>
      <c r="G38" s="2" t="s">
        <v>28</v>
      </c>
      <c r="H38" s="2" t="s">
        <v>26</v>
      </c>
      <c r="J38" s="2">
        <f>J37</f>
        <v>42565</v>
      </c>
      <c r="K38" s="2" t="s">
        <v>10</v>
      </c>
      <c r="L38" s="2" t="s">
        <v>1</v>
      </c>
      <c r="M38" s="2">
        <v>140</v>
      </c>
      <c r="N38" s="2" t="s">
        <v>1</v>
      </c>
      <c r="O38" s="3" t="s">
        <v>1</v>
      </c>
      <c r="R38" s="8" t="s">
        <v>81</v>
      </c>
      <c r="T38" s="2">
        <v>7</v>
      </c>
      <c r="U38" s="2">
        <f t="shared" si="15"/>
        <v>0</v>
      </c>
      <c r="V38" s="2">
        <f>V37</f>
        <v>0</v>
      </c>
      <c r="W38" s="2">
        <f t="shared" si="22"/>
        <v>0</v>
      </c>
      <c r="X38" s="2">
        <f t="shared" si="22"/>
        <v>0</v>
      </c>
      <c r="Y38" s="2">
        <f t="shared" si="22"/>
        <v>0</v>
      </c>
      <c r="Z38" s="2" t="s">
        <v>1</v>
      </c>
      <c r="AA38" s="2">
        <f>AA36</f>
        <v>0</v>
      </c>
      <c r="AB38" s="2">
        <f t="shared" si="16"/>
        <v>0</v>
      </c>
      <c r="AC38" s="2">
        <f>AC36</f>
        <v>0</v>
      </c>
      <c r="AD38" s="2">
        <f t="shared" ref="AD38:AF38" si="24">AD36</f>
        <v>0</v>
      </c>
      <c r="AE38" s="2">
        <f t="shared" si="24"/>
        <v>0</v>
      </c>
      <c r="AF38" s="2">
        <f t="shared" si="24"/>
        <v>0</v>
      </c>
    </row>
    <row r="39" spans="1:32" s="2" customFormat="1" x14ac:dyDescent="0.2">
      <c r="A39" s="1" t="s">
        <v>0</v>
      </c>
      <c r="B39" s="2">
        <f t="shared" si="21"/>
        <v>0</v>
      </c>
      <c r="C39" s="2">
        <f t="shared" si="21"/>
        <v>0</v>
      </c>
      <c r="D39" s="2" t="s">
        <v>8</v>
      </c>
      <c r="E39" s="2" t="s">
        <v>2</v>
      </c>
      <c r="F39" s="2" t="s">
        <v>3</v>
      </c>
      <c r="G39" s="2" t="s">
        <v>29</v>
      </c>
      <c r="H39" s="2" t="s">
        <v>26</v>
      </c>
      <c r="J39" s="4">
        <v>42566</v>
      </c>
      <c r="K39" s="2" t="s">
        <v>10</v>
      </c>
      <c r="L39" s="2">
        <v>20</v>
      </c>
      <c r="M39" s="2">
        <v>140</v>
      </c>
      <c r="N39" s="2">
        <v>1</v>
      </c>
      <c r="O39" s="3">
        <f t="shared" ref="O39:O40" si="25">L39*-10</f>
        <v>-200</v>
      </c>
      <c r="P39" s="2">
        <v>1829</v>
      </c>
      <c r="R39" s="8" t="s">
        <v>81</v>
      </c>
    </row>
    <row r="40" spans="1:32" s="2" customFormat="1" x14ac:dyDescent="0.2">
      <c r="A40" s="1" t="s">
        <v>0</v>
      </c>
      <c r="B40" s="2">
        <f t="shared" si="21"/>
        <v>0</v>
      </c>
      <c r="C40" s="2">
        <f t="shared" si="21"/>
        <v>0</v>
      </c>
      <c r="D40" s="2" t="s">
        <v>8</v>
      </c>
      <c r="E40" s="2" t="s">
        <v>2</v>
      </c>
      <c r="F40" s="2" t="s">
        <v>3</v>
      </c>
      <c r="G40" s="2" t="s">
        <v>29</v>
      </c>
      <c r="H40" s="2" t="s">
        <v>26</v>
      </c>
      <c r="J40" s="2">
        <f>J39</f>
        <v>42566</v>
      </c>
      <c r="K40" s="2" t="s">
        <v>10</v>
      </c>
      <c r="L40" s="2">
        <v>140</v>
      </c>
      <c r="M40" s="2">
        <v>140</v>
      </c>
      <c r="N40" s="2">
        <v>2</v>
      </c>
      <c r="O40" s="3">
        <f t="shared" si="25"/>
        <v>-1400</v>
      </c>
      <c r="P40" s="2">
        <v>3711</v>
      </c>
      <c r="R40" s="8" t="s">
        <v>81</v>
      </c>
    </row>
    <row r="41" spans="1:32" s="2" customFormat="1" x14ac:dyDescent="0.2">
      <c r="A41" s="1" t="s">
        <v>0</v>
      </c>
      <c r="B41" s="2">
        <f t="shared" si="21"/>
        <v>0</v>
      </c>
      <c r="C41" s="2">
        <f t="shared" si="21"/>
        <v>0</v>
      </c>
      <c r="D41" s="2" t="s">
        <v>12</v>
      </c>
      <c r="E41" s="2" t="s">
        <v>2</v>
      </c>
      <c r="F41" s="2" t="s">
        <v>3</v>
      </c>
      <c r="G41" s="2" t="s">
        <v>29</v>
      </c>
      <c r="H41" s="2" t="s">
        <v>26</v>
      </c>
      <c r="J41" s="2">
        <f>J40</f>
        <v>42566</v>
      </c>
      <c r="K41" s="2" t="s">
        <v>10</v>
      </c>
      <c r="L41" s="2" t="s">
        <v>1</v>
      </c>
      <c r="M41" s="2">
        <v>140</v>
      </c>
      <c r="N41" s="2" t="s">
        <v>1</v>
      </c>
      <c r="O41" s="3" t="s">
        <v>1</v>
      </c>
      <c r="R41" s="8" t="s">
        <v>81</v>
      </c>
    </row>
    <row r="42" spans="1:32" s="2" customFormat="1" x14ac:dyDescent="0.2">
      <c r="A42" s="1" t="s">
        <v>0</v>
      </c>
      <c r="B42" s="2">
        <f t="shared" si="21"/>
        <v>0</v>
      </c>
      <c r="C42" s="2">
        <f t="shared" si="21"/>
        <v>0</v>
      </c>
      <c r="D42" s="2" t="s">
        <v>8</v>
      </c>
      <c r="E42" s="2" t="s">
        <v>2</v>
      </c>
      <c r="F42" s="2" t="s">
        <v>3</v>
      </c>
      <c r="G42" s="2" t="s">
        <v>30</v>
      </c>
      <c r="H42" s="2" t="s">
        <v>26</v>
      </c>
      <c r="J42" s="4">
        <v>42562</v>
      </c>
      <c r="K42" s="2" t="s">
        <v>10</v>
      </c>
      <c r="L42" s="2">
        <v>20</v>
      </c>
      <c r="M42" s="2">
        <v>140</v>
      </c>
      <c r="N42" s="2">
        <v>1</v>
      </c>
      <c r="O42" s="3">
        <f t="shared" ref="O42:O43" si="26">L42*-10</f>
        <v>-200</v>
      </c>
      <c r="P42" s="2">
        <v>1844</v>
      </c>
      <c r="R42" s="8" t="s">
        <v>81</v>
      </c>
    </row>
    <row r="43" spans="1:32" x14ac:dyDescent="0.2">
      <c r="A43" s="1" t="s">
        <v>0</v>
      </c>
      <c r="B43" s="2">
        <f t="shared" si="21"/>
        <v>0</v>
      </c>
      <c r="C43" s="2">
        <f t="shared" si="21"/>
        <v>0</v>
      </c>
      <c r="D43" s="2" t="s">
        <v>8</v>
      </c>
      <c r="E43" s="2" t="s">
        <v>2</v>
      </c>
      <c r="F43" s="2" t="s">
        <v>3</v>
      </c>
      <c r="G43" s="2" t="s">
        <v>30</v>
      </c>
      <c r="H43" s="2" t="s">
        <v>26</v>
      </c>
      <c r="J43" s="2">
        <f>J42</f>
        <v>42562</v>
      </c>
      <c r="K43" s="2" t="s">
        <v>10</v>
      </c>
      <c r="L43" s="2">
        <v>140</v>
      </c>
      <c r="M43" s="2">
        <v>140</v>
      </c>
      <c r="N43" s="2">
        <v>2</v>
      </c>
      <c r="O43" s="3">
        <f t="shared" si="26"/>
        <v>-1400</v>
      </c>
      <c r="P43" s="7">
        <v>3682</v>
      </c>
      <c r="R43" s="8" t="s">
        <v>81</v>
      </c>
      <c r="AC43" s="5"/>
      <c r="AD43" s="5"/>
      <c r="AE43" s="5"/>
      <c r="AF43" s="5"/>
    </row>
    <row r="44" spans="1:32" x14ac:dyDescent="0.2">
      <c r="A44" s="1" t="s">
        <v>0</v>
      </c>
      <c r="B44" s="2">
        <f t="shared" si="21"/>
        <v>0</v>
      </c>
      <c r="C44" s="2">
        <f t="shared" si="21"/>
        <v>0</v>
      </c>
      <c r="D44" s="2" t="s">
        <v>12</v>
      </c>
      <c r="E44" s="2" t="s">
        <v>2</v>
      </c>
      <c r="F44" s="2" t="s">
        <v>3</v>
      </c>
      <c r="G44" s="2" t="s">
        <v>30</v>
      </c>
      <c r="H44" s="2" t="s">
        <v>26</v>
      </c>
      <c r="J44" s="2">
        <f>J43</f>
        <v>42562</v>
      </c>
      <c r="K44" s="2" t="s">
        <v>10</v>
      </c>
      <c r="L44" s="2" t="s">
        <v>1</v>
      </c>
      <c r="M44" s="2">
        <v>140</v>
      </c>
      <c r="N44" s="2" t="s">
        <v>1</v>
      </c>
      <c r="O44" s="3" t="s">
        <v>1</v>
      </c>
      <c r="R44" s="8" t="s">
        <v>81</v>
      </c>
      <c r="AC44" s="5"/>
      <c r="AD44" s="5"/>
      <c r="AE44" s="5"/>
      <c r="AF44" s="5"/>
    </row>
    <row r="45" spans="1:32" s="2" customFormat="1" x14ac:dyDescent="0.2">
      <c r="A45" s="1" t="s">
        <v>0</v>
      </c>
      <c r="B45" s="2">
        <f t="shared" si="21"/>
        <v>0</v>
      </c>
      <c r="C45" s="2">
        <f t="shared" si="21"/>
        <v>0</v>
      </c>
      <c r="D45" s="2" t="s">
        <v>8</v>
      </c>
      <c r="E45" s="2" t="s">
        <v>2</v>
      </c>
      <c r="F45" s="2" t="s">
        <v>3</v>
      </c>
      <c r="G45" s="2" t="s">
        <v>31</v>
      </c>
      <c r="H45" s="2" t="s">
        <v>26</v>
      </c>
      <c r="J45" s="4">
        <v>42563</v>
      </c>
      <c r="K45" s="2" t="s">
        <v>10</v>
      </c>
      <c r="L45" s="2">
        <v>20</v>
      </c>
      <c r="M45" s="2">
        <v>140</v>
      </c>
      <c r="N45" s="2">
        <v>1</v>
      </c>
      <c r="O45" s="3">
        <f t="shared" si="14"/>
        <v>-200</v>
      </c>
      <c r="P45" s="2">
        <v>1858</v>
      </c>
      <c r="R45" s="8" t="s">
        <v>81</v>
      </c>
      <c r="T45" s="2">
        <v>10</v>
      </c>
      <c r="U45" s="2">
        <f t="shared" si="15"/>
        <v>0</v>
      </c>
      <c r="Z45" s="2" t="s">
        <v>1</v>
      </c>
      <c r="AB45" s="2">
        <f t="shared" si="16"/>
        <v>0</v>
      </c>
    </row>
    <row r="46" spans="1:32" s="2" customFormat="1" x14ac:dyDescent="0.2">
      <c r="A46" s="1" t="s">
        <v>0</v>
      </c>
      <c r="B46" s="2">
        <f>B45</f>
        <v>0</v>
      </c>
      <c r="C46" s="2">
        <f>C45</f>
        <v>0</v>
      </c>
      <c r="D46" s="2" t="s">
        <v>8</v>
      </c>
      <c r="E46" s="2" t="s">
        <v>2</v>
      </c>
      <c r="F46" s="2" t="s">
        <v>3</v>
      </c>
      <c r="G46" s="2" t="s">
        <v>31</v>
      </c>
      <c r="H46" s="2" t="s">
        <v>26</v>
      </c>
      <c r="J46" s="2">
        <f>J45</f>
        <v>42563</v>
      </c>
      <c r="K46" s="2" t="s">
        <v>10</v>
      </c>
      <c r="L46" s="2">
        <v>140</v>
      </c>
      <c r="M46" s="2">
        <v>140</v>
      </c>
      <c r="N46" s="2">
        <v>2</v>
      </c>
      <c r="O46" s="3">
        <f t="shared" si="14"/>
        <v>-1400</v>
      </c>
      <c r="P46" s="2">
        <v>3696</v>
      </c>
      <c r="R46" s="8" t="s">
        <v>81</v>
      </c>
      <c r="T46" s="2">
        <v>10</v>
      </c>
      <c r="U46" s="2">
        <f t="shared" si="15"/>
        <v>0</v>
      </c>
      <c r="V46" s="2">
        <f>V45</f>
        <v>0</v>
      </c>
      <c r="W46" s="2">
        <f t="shared" ref="W46:Y47" si="27">W45</f>
        <v>0</v>
      </c>
      <c r="X46" s="2">
        <f t="shared" si="27"/>
        <v>0</v>
      </c>
      <c r="Y46" s="2">
        <f t="shared" si="27"/>
        <v>0</v>
      </c>
      <c r="Z46" s="2" t="s">
        <v>1</v>
      </c>
      <c r="AA46" s="2">
        <f>AA45</f>
        <v>0</v>
      </c>
      <c r="AB46" s="2">
        <f t="shared" si="16"/>
        <v>0</v>
      </c>
      <c r="AC46" s="2">
        <f>AC45</f>
        <v>0</v>
      </c>
      <c r="AD46" s="2">
        <f t="shared" ref="AD46:AF46" si="28">AD45</f>
        <v>0</v>
      </c>
      <c r="AE46" s="2">
        <f t="shared" si="28"/>
        <v>0</v>
      </c>
      <c r="AF46" s="2">
        <f t="shared" si="28"/>
        <v>0</v>
      </c>
    </row>
    <row r="47" spans="1:32" s="2" customFormat="1" x14ac:dyDescent="0.2">
      <c r="A47" s="1" t="s">
        <v>0</v>
      </c>
      <c r="B47" s="2">
        <f>B45</f>
        <v>0</v>
      </c>
      <c r="C47" s="2">
        <f>C45</f>
        <v>0</v>
      </c>
      <c r="D47" s="2" t="s">
        <v>12</v>
      </c>
      <c r="E47" s="2" t="s">
        <v>2</v>
      </c>
      <c r="F47" s="2" t="s">
        <v>3</v>
      </c>
      <c r="G47" s="2" t="s">
        <v>31</v>
      </c>
      <c r="H47" s="2" t="s">
        <v>26</v>
      </c>
      <c r="J47" s="2">
        <f>J46</f>
        <v>42563</v>
      </c>
      <c r="K47" s="2" t="s">
        <v>10</v>
      </c>
      <c r="L47" s="2" t="s">
        <v>1</v>
      </c>
      <c r="M47" s="2">
        <v>140</v>
      </c>
      <c r="N47" s="2" t="s">
        <v>1</v>
      </c>
      <c r="O47" s="3" t="s">
        <v>1</v>
      </c>
      <c r="R47" s="8" t="s">
        <v>81</v>
      </c>
      <c r="T47" s="2">
        <v>10</v>
      </c>
      <c r="U47" s="2">
        <f t="shared" si="15"/>
        <v>0</v>
      </c>
      <c r="V47" s="2">
        <f>V46</f>
        <v>0</v>
      </c>
      <c r="W47" s="2">
        <f t="shared" si="27"/>
        <v>0</v>
      </c>
      <c r="X47" s="2">
        <f t="shared" si="27"/>
        <v>0</v>
      </c>
      <c r="Y47" s="2">
        <f t="shared" si="27"/>
        <v>0</v>
      </c>
      <c r="Z47" s="2" t="s">
        <v>1</v>
      </c>
      <c r="AA47" s="2">
        <f>AA45</f>
        <v>0</v>
      </c>
      <c r="AB47" s="2">
        <f t="shared" si="16"/>
        <v>0</v>
      </c>
      <c r="AC47" s="2">
        <f>AC45</f>
        <v>0</v>
      </c>
      <c r="AD47" s="2">
        <f t="shared" ref="AD47:AF47" si="29">AD45</f>
        <v>0</v>
      </c>
      <c r="AE47" s="2">
        <f t="shared" si="29"/>
        <v>0</v>
      </c>
      <c r="AF47" s="2">
        <f t="shared" si="29"/>
        <v>0</v>
      </c>
    </row>
    <row r="48" spans="1:32" s="2" customFormat="1" x14ac:dyDescent="0.2">
      <c r="A48" s="1" t="s">
        <v>0</v>
      </c>
      <c r="B48" s="2">
        <f t="shared" ref="B48:C51" si="30">B46</f>
        <v>0</v>
      </c>
      <c r="C48" s="2">
        <f t="shared" si="30"/>
        <v>0</v>
      </c>
      <c r="D48" s="2" t="s">
        <v>8</v>
      </c>
      <c r="E48" s="2" t="s">
        <v>2</v>
      </c>
      <c r="F48" s="2" t="s">
        <v>3</v>
      </c>
      <c r="G48" s="2" t="s">
        <v>32</v>
      </c>
      <c r="H48" s="2" t="s">
        <v>26</v>
      </c>
      <c r="J48" s="4">
        <v>41360</v>
      </c>
      <c r="K48" s="2" t="s">
        <v>10</v>
      </c>
      <c r="L48" s="2">
        <v>20</v>
      </c>
      <c r="M48" s="2">
        <v>80</v>
      </c>
      <c r="N48" s="2">
        <v>1</v>
      </c>
      <c r="O48" s="3">
        <f>L48*-10</f>
        <v>-200</v>
      </c>
      <c r="P48" s="2">
        <v>1541</v>
      </c>
      <c r="R48" s="8" t="s">
        <v>81</v>
      </c>
    </row>
    <row r="49" spans="1:32" s="2" customFormat="1" x14ac:dyDescent="0.2">
      <c r="A49" s="1" t="s">
        <v>0</v>
      </c>
      <c r="B49" s="2">
        <f t="shared" si="30"/>
        <v>0</v>
      </c>
      <c r="C49" s="2">
        <f t="shared" si="30"/>
        <v>0</v>
      </c>
      <c r="D49" s="2" t="s">
        <v>8</v>
      </c>
      <c r="E49" s="2" t="s">
        <v>2</v>
      </c>
      <c r="F49" s="2" t="s">
        <v>3</v>
      </c>
      <c r="G49" s="2" t="s">
        <v>32</v>
      </c>
      <c r="H49" s="2" t="s">
        <v>26</v>
      </c>
      <c r="J49" s="2">
        <f>J48</f>
        <v>41360</v>
      </c>
      <c r="K49" s="2" t="s">
        <v>10</v>
      </c>
      <c r="L49" s="2">
        <v>80</v>
      </c>
      <c r="M49" s="2">
        <v>80</v>
      </c>
      <c r="N49" s="2">
        <v>2</v>
      </c>
      <c r="O49" s="3">
        <f t="shared" ref="O49" si="31">L49*-10</f>
        <v>-800</v>
      </c>
      <c r="P49" s="2">
        <v>2461</v>
      </c>
      <c r="R49" s="8" t="s">
        <v>81</v>
      </c>
    </row>
    <row r="50" spans="1:32" s="2" customFormat="1" x14ac:dyDescent="0.2">
      <c r="A50" s="1" t="s">
        <v>0</v>
      </c>
      <c r="B50" s="2">
        <f t="shared" si="30"/>
        <v>0</v>
      </c>
      <c r="C50" s="2">
        <f t="shared" si="30"/>
        <v>0</v>
      </c>
      <c r="D50" s="2" t="s">
        <v>12</v>
      </c>
      <c r="E50" s="2" t="s">
        <v>2</v>
      </c>
      <c r="F50" s="2" t="s">
        <v>3</v>
      </c>
      <c r="G50" s="2" t="s">
        <v>32</v>
      </c>
      <c r="H50" s="2" t="s">
        <v>26</v>
      </c>
      <c r="J50" s="2">
        <f>J49</f>
        <v>41360</v>
      </c>
      <c r="K50" s="2" t="s">
        <v>10</v>
      </c>
      <c r="L50" s="2" t="s">
        <v>1</v>
      </c>
      <c r="M50" s="2">
        <v>80</v>
      </c>
      <c r="N50" s="2" t="s">
        <v>1</v>
      </c>
      <c r="O50" s="3" t="s">
        <v>1</v>
      </c>
      <c r="R50" s="8" t="s">
        <v>81</v>
      </c>
    </row>
    <row r="51" spans="1:32" s="2" customFormat="1" x14ac:dyDescent="0.2">
      <c r="A51" s="1" t="s">
        <v>0</v>
      </c>
      <c r="B51" s="2">
        <f t="shared" si="30"/>
        <v>0</v>
      </c>
      <c r="C51" s="2">
        <f t="shared" si="30"/>
        <v>0</v>
      </c>
      <c r="D51" s="2" t="s">
        <v>8</v>
      </c>
      <c r="E51" s="2" t="s">
        <v>2</v>
      </c>
      <c r="F51" s="2" t="s">
        <v>3</v>
      </c>
      <c r="G51" s="2" t="s">
        <v>33</v>
      </c>
      <c r="H51" s="2" t="s">
        <v>26</v>
      </c>
      <c r="J51" s="4">
        <v>41362</v>
      </c>
      <c r="K51" s="2" t="s">
        <v>10</v>
      </c>
      <c r="L51" s="2">
        <v>20</v>
      </c>
      <c r="M51" s="2">
        <v>80</v>
      </c>
      <c r="N51" s="2">
        <v>1</v>
      </c>
      <c r="O51" s="3">
        <f t="shared" si="14"/>
        <v>-200</v>
      </c>
      <c r="P51" s="2">
        <v>1650</v>
      </c>
      <c r="R51" s="8" t="s">
        <v>81</v>
      </c>
      <c r="T51" s="2">
        <v>30</v>
      </c>
      <c r="U51" s="2">
        <f t="shared" si="15"/>
        <v>0</v>
      </c>
      <c r="Z51" s="2" t="s">
        <v>1</v>
      </c>
      <c r="AB51" s="2">
        <f t="shared" si="16"/>
        <v>0</v>
      </c>
    </row>
    <row r="52" spans="1:32" s="2" customFormat="1" x14ac:dyDescent="0.2">
      <c r="A52" s="1" t="s">
        <v>0</v>
      </c>
      <c r="B52" s="2">
        <f>B51</f>
        <v>0</v>
      </c>
      <c r="C52" s="2">
        <f>C51</f>
        <v>0</v>
      </c>
      <c r="D52" s="2" t="s">
        <v>8</v>
      </c>
      <c r="E52" s="2" t="s">
        <v>2</v>
      </c>
      <c r="F52" s="2" t="s">
        <v>3</v>
      </c>
      <c r="G52" s="2" t="s">
        <v>33</v>
      </c>
      <c r="H52" s="2" t="s">
        <v>26</v>
      </c>
      <c r="J52" s="2">
        <f>J51</f>
        <v>41362</v>
      </c>
      <c r="K52" s="2" t="s">
        <v>10</v>
      </c>
      <c r="L52" s="2">
        <v>80</v>
      </c>
      <c r="M52" s="2">
        <v>80</v>
      </c>
      <c r="N52" s="2">
        <v>2</v>
      </c>
      <c r="O52" s="3">
        <f t="shared" si="14"/>
        <v>-800</v>
      </c>
      <c r="P52" s="2">
        <v>2742</v>
      </c>
      <c r="R52" s="8" t="s">
        <v>81</v>
      </c>
      <c r="T52" s="2">
        <v>30</v>
      </c>
      <c r="U52" s="2">
        <f t="shared" si="15"/>
        <v>0</v>
      </c>
      <c r="V52" s="2">
        <f>V51</f>
        <v>0</v>
      </c>
      <c r="W52" s="2">
        <f t="shared" ref="W52:Y53" si="32">W51</f>
        <v>0</v>
      </c>
      <c r="X52" s="2">
        <f t="shared" si="32"/>
        <v>0</v>
      </c>
      <c r="Y52" s="2">
        <f t="shared" si="32"/>
        <v>0</v>
      </c>
      <c r="Z52" s="2" t="s">
        <v>1</v>
      </c>
      <c r="AA52" s="2">
        <f>AA51</f>
        <v>0</v>
      </c>
      <c r="AB52" s="2">
        <f t="shared" si="16"/>
        <v>0</v>
      </c>
      <c r="AC52" s="2">
        <f>AC51</f>
        <v>0</v>
      </c>
      <c r="AD52" s="2">
        <f t="shared" ref="AD52:AF52" si="33">AD51</f>
        <v>0</v>
      </c>
      <c r="AE52" s="2">
        <f t="shared" si="33"/>
        <v>0</v>
      </c>
      <c r="AF52" s="2">
        <f t="shared" si="33"/>
        <v>0</v>
      </c>
    </row>
    <row r="53" spans="1:32" s="2" customFormat="1" x14ac:dyDescent="0.2">
      <c r="A53" s="1" t="s">
        <v>0</v>
      </c>
      <c r="B53" s="2">
        <f>B51</f>
        <v>0</v>
      </c>
      <c r="C53" s="2">
        <f>C51</f>
        <v>0</v>
      </c>
      <c r="D53" s="2" t="s">
        <v>12</v>
      </c>
      <c r="E53" s="2" t="s">
        <v>2</v>
      </c>
      <c r="F53" s="2" t="s">
        <v>3</v>
      </c>
      <c r="G53" s="2" t="s">
        <v>33</v>
      </c>
      <c r="H53" s="2" t="s">
        <v>26</v>
      </c>
      <c r="J53" s="2">
        <f>J52</f>
        <v>41362</v>
      </c>
      <c r="K53" s="2" t="s">
        <v>10</v>
      </c>
      <c r="L53" s="2" t="s">
        <v>1</v>
      </c>
      <c r="M53" s="2">
        <v>80</v>
      </c>
      <c r="N53" s="2" t="s">
        <v>1</v>
      </c>
      <c r="O53" s="3" t="s">
        <v>1</v>
      </c>
      <c r="R53" s="8" t="s">
        <v>81</v>
      </c>
      <c r="T53" s="2">
        <v>30</v>
      </c>
      <c r="U53" s="2">
        <f t="shared" si="15"/>
        <v>0</v>
      </c>
      <c r="V53" s="2">
        <f>V52</f>
        <v>0</v>
      </c>
      <c r="W53" s="2">
        <f t="shared" si="32"/>
        <v>0</v>
      </c>
      <c r="X53" s="2">
        <f t="shared" si="32"/>
        <v>0</v>
      </c>
      <c r="Y53" s="2">
        <f t="shared" si="32"/>
        <v>0</v>
      </c>
      <c r="Z53" s="2" t="s">
        <v>1</v>
      </c>
      <c r="AA53" s="2">
        <f>AA51</f>
        <v>0</v>
      </c>
      <c r="AB53" s="2">
        <f t="shared" si="16"/>
        <v>0</v>
      </c>
      <c r="AC53" s="2">
        <f>AC51</f>
        <v>0</v>
      </c>
      <c r="AD53" s="2">
        <f t="shared" ref="AD53:AF53" si="34">AD51</f>
        <v>0</v>
      </c>
      <c r="AE53" s="2">
        <f t="shared" si="34"/>
        <v>0</v>
      </c>
      <c r="AF53" s="2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Alizée Girard</dc:creator>
  <cp:lastModifiedBy>Alizée Girard</cp:lastModifiedBy>
  <dcterms:created xsi:type="dcterms:W3CDTF">2025-05-11T22:31:52Z</dcterms:created>
  <dcterms:modified xsi:type="dcterms:W3CDTF">2025-05-11T22:42:53Z</dcterms:modified>
</cp:coreProperties>
</file>